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ain" sheetId="2" state="visible" r:id="rId4"/>
    <sheet name="Test" sheetId="3" state="visible" r:id="rId5"/>
    <sheet name="Results" sheetId="4" state="visible" r:id="rId6"/>
    <sheet name="Seen vs Unseen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<sst xmlns="http://schemas.openxmlformats.org/spreadsheetml/2006/main" count="90" uniqueCount="84">
  <si>
    <t xml:space="preserve">RED STRINGS LAB · CASE 11 · Training vs Testing — Starter Sheet</t>
  </si>
  <si>
    <t xml:space="preserve">Every dataset is hiding something.</t>
  </si>
  <si>
    <t xml:space="preserve">⚠ ALL data here is MADE UP: 40 imaginary students, hours studied per week and exam score.</t>
  </si>
  <si>
    <t xml:space="preserve">THE IDEA: a model can look perfect on the examples it learned from and still be bad on new ones. Only a test on UNSEEN examples tells the truth.</t>
  </si>
  <si>
    <t xml:space="preserve">TWO MODELS, both built with plain formulas:</t>
  </si>
  <si>
    <t xml:space="preserve">• The Memorizer: to predict a score, it finds the training student with the closest hours studied and copies their score. On training students it simply remembers the answer.</t>
  </si>
  <si>
    <t xml:space="preserve">• The Rule: a straight line (INTERCEPT and SLOPE) fitted to the training students only.</t>
  </si>
  <si>
    <t xml:space="preserve">TABS</t>
  </si>
  <si>
    <t xml:space="preserve">• Train — 20 students the models learn from.  • Test — 20 different students the models never saw (formulas do the predicting).</t>
  </si>
  <si>
    <t xml:space="preserve">• Results — errors on train vs test, with a chart.  • Seen vs Unseen — a log for YOUR Teachable Machine model.</t>
  </si>
  <si>
    <t xml:space="preserve">• Answer Key — the numbers behind the video.</t>
  </si>
  <si>
    <t xml:space="preserve">MISSION</t>
  </si>
  <si>
    <t xml:space="preserve">1. Open your Case 9 model. Test it on 10 examples it WAS trained on and 10 it was NOT, and log both in 'Seen vs Unseen'.</t>
  </si>
  <si>
    <t xml:space="preserve">2. Compare the two accuracies. Which one tells you how the model will behave in real life?</t>
  </si>
  <si>
    <t xml:space="preserve">3. Write one honest sentence about what your model can and cannot be trusted to do.</t>
  </si>
  <si>
    <t xml:space="preserve">4. Objects only. No faces, no personal photos.</t>
  </si>
  <si>
    <t xml:space="preserve">Not affiliated with Google or any tool shown. Free to use for learning. Terms checked: [add date].</t>
  </si>
  <si>
    <t xml:space="preserve">Student</t>
  </si>
  <si>
    <t xml:space="preserve">Hours studied per week</t>
  </si>
  <si>
    <t xml:space="preserve">Exam score</t>
  </si>
  <si>
    <t xml:space="preserve">Memorizer prediction</t>
  </si>
  <si>
    <t xml:space="preserve">Memorizer error</t>
  </si>
  <si>
    <t xml:space="preserve">Rule prediction</t>
  </si>
  <si>
    <t xml:space="preserve">Rule error</t>
  </si>
  <si>
    <t xml:space="preserve">Made-up data. The Memorizer already knows these answers, so its training error is zero by design.</t>
  </si>
  <si>
    <t xml:space="preserve">Exam score (hidden from models)</t>
  </si>
  <si>
    <t xml:space="preserve">Gap to train #1</t>
  </si>
  <si>
    <t xml:space="preserve">Gap to train #2</t>
  </si>
  <si>
    <t xml:space="preserve">Gap to train #3</t>
  </si>
  <si>
    <t xml:space="preserve">Gap to train #4</t>
  </si>
  <si>
    <t xml:space="preserve">Gap to train #5</t>
  </si>
  <si>
    <t xml:space="preserve">Gap to train #6</t>
  </si>
  <si>
    <t xml:space="preserve">Gap to train #7</t>
  </si>
  <si>
    <t xml:space="preserve">Gap to train #8</t>
  </si>
  <si>
    <t xml:space="preserve">Gap to train #9</t>
  </si>
  <si>
    <t xml:space="preserve">Gap to train #10</t>
  </si>
  <si>
    <t xml:space="preserve">Gap to train #11</t>
  </si>
  <si>
    <t xml:space="preserve">Gap to train #12</t>
  </si>
  <si>
    <t xml:space="preserve">Gap to train #13</t>
  </si>
  <si>
    <t xml:space="preserve">Gap to train #14</t>
  </si>
  <si>
    <t xml:space="preserve">Gap to train #15</t>
  </si>
  <si>
    <t xml:space="preserve">Gap to train #16</t>
  </si>
  <si>
    <t xml:space="preserve">Gap to train #17</t>
  </si>
  <si>
    <t xml:space="preserve">Gap to train #18</t>
  </si>
  <si>
    <t xml:space="preserve">Gap to train #19</t>
  </si>
  <si>
    <t xml:space="preserve">Gap to train #20</t>
  </si>
  <si>
    <t xml:space="preserve">Gap to train # = distance in hours studied. The Memorizer copies the score of the training student with the SMALLEST gap.</t>
  </si>
  <si>
    <t xml:space="preserve">Average error in exam points (lower is better)</t>
  </si>
  <si>
    <t xml:space="preserve">Model and data</t>
  </si>
  <si>
    <t xml:space="preserve">Average error</t>
  </si>
  <si>
    <t xml:space="preserve">Memorizer on TRAIN students</t>
  </si>
  <si>
    <t xml:space="preserve">Memorizer on TEST students</t>
  </si>
  <si>
    <t xml:space="preserve">Rule on TRAIN students</t>
  </si>
  <si>
    <t xml:space="preserve">Rule on TEST students</t>
  </si>
  <si>
    <t xml:space="preserve">Test #</t>
  </si>
  <si>
    <t xml:space="preserve">Was this example in my training set? (Seen / Unseen)</t>
  </si>
  <si>
    <t xml:space="preserve">True class</t>
  </si>
  <si>
    <t xml:space="preserve">Model's guess</t>
  </si>
  <si>
    <t xml:space="preserve">Correct?</t>
  </si>
  <si>
    <t xml:space="preserve">Notes</t>
  </si>
  <si>
    <t xml:space="preserve">Rows 2 to 31. Type class names EXACTLY the same in both columns.</t>
  </si>
  <si>
    <t xml:space="preserve">Accuracy on SEEN examples</t>
  </si>
  <si>
    <t xml:space="preserve">Accuracy on UNSEEN examples</t>
  </si>
  <si>
    <t xml:space="preserve">Gap (seen minus unseen)</t>
  </si>
  <si>
    <t xml:space="preserve">ANSWER KEY (made-up data) — try it yourself first</t>
  </si>
  <si>
    <t xml:space="preserve">What we calculate</t>
  </si>
  <si>
    <t xml:space="preserve">Result</t>
  </si>
  <si>
    <t xml:space="preserve">Why it matters</t>
  </si>
  <si>
    <t xml:space="preserve">Memorizer error on train</t>
  </si>
  <si>
    <t xml:space="preserve">Zero: it remembers every answer. A perfect score that means nothing</t>
  </si>
  <si>
    <t xml:space="preserve">Memorizer error on test</t>
  </si>
  <si>
    <t xml:space="preserve">On new students it is far worse</t>
  </si>
  <si>
    <t xml:space="preserve">Rule error on train</t>
  </si>
  <si>
    <t xml:space="preserve">The rule can't memorize, so it isn't perfect</t>
  </si>
  <si>
    <t xml:space="preserve">Rule error on test</t>
  </si>
  <si>
    <t xml:space="preserve">Close to its train error: what you see is what you get</t>
  </si>
  <si>
    <t xml:space="preserve">Memorizer test error ÷ Rule test error</t>
  </si>
  <si>
    <t xml:space="preserve">How many times worse the 'perfect' model is on unseen data</t>
  </si>
  <si>
    <t xml:space="preserve">Rule: test error minus train error</t>
  </si>
  <si>
    <t xml:space="preserve">A small gap means the score can be trusted</t>
  </si>
  <si>
    <t xml:space="preserve">Slope of the rule (points per extra hour)</t>
  </si>
  <si>
    <t xml:space="preserve">What the rule learned from 20 students</t>
  </si>
  <si>
    <t xml:space="preserve">Intercept of the rule (score at 0 hours)</t>
  </si>
  <si>
    <t xml:space="preserve">Reminder: a score on data the model has already seen tells you almost nothing.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</si>
</sst>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4213D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1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error: train vs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Results!B3</c:f>
              <c:strCache>
                <c:ptCount val="1"/>
                <c:pt idx="0">
                  <c:v>Average error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Results!$A$4:$A$7</c:f>
              <c:strCache>
                <c:ptCount val="4"/>
                <c:pt idx="0">
                  <c:v>Memorizer on TRAIN students</c:v>
                </c:pt>
                <c:pt idx="1">
                  <c:v>Memorizer on TEST students</c:v>
                </c:pt>
                <c:pt idx="2">
                  <c:v>Rule on TRAIN students</c:v>
                </c:pt>
                <c:pt idx="3">
                  <c:v>Rule on TEST students</c:v>
                </c:pt>
              </c:strCache>
            </c:strRef>
          </c:cat>
          <c:val>
            <c:numRef>
              <c:f>Results!$B$4:$B$7</c:f>
              <c:numCache>
                <c:formatCode>0.0</c:formatCode>
                <c:ptCount val="4"/>
                <c:pt idx="0">
                  <c:v>0</c:v>
                </c:pt>
                <c:pt idx="1">
                  <c:v>9.4</c:v>
                </c:pt>
                <c:pt idx="2">
                  <c:v>6.30400089163737</c:v>
                </c:pt>
                <c:pt idx="3">
                  <c:v>6.0827969163472</c:v>
                </c:pt>
              </c:numCache>
            </c:numRef>
          </c:val>
        </c:ser>
        <c:gapWidth val="150"/>
        <c:overlap val="0"/>
        <c:axId val="62000318"/>
        <c:axId val="74966329"/>
      </c:barChart>
      <c:catAx>
        <c:axId val="62000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66329"/>
        <c:crosses val="autoZero"/>
        <c:auto val="1"/>
        <c:lblAlgn val="ctr"/>
        <c:lblOffset val="100"/>
        <c:noMultiLvlLbl val="0"/>
      </c:catAx>
      <c:valAx>
        <c:axId val="749663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003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256320</xdr:colOff>
      <xdr:row>18</xdr:row>
      <xdr:rowOff>11520</xdr:rowOff>
    </xdr:to>
    <xdr:graphicFrame>
      <xdr:nvGraphicFramePr>
        <xdr:cNvPr id="0" name="Chart 1"/>
        <xdr:cNvGraphicFramePr/>
      </xdr:nvGraphicFramePr>
      <xdr:xfrm>
        <a:off x="427680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26.85" hidden="false" customHeight="false" outlineLevel="0" collapsed="false">
      <c r="B7" s="5" t="s">
        <v>3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5" t="s">
        <v>4</v>
      </c>
    </row>
    <row r="10" customFormat="false" ht="26.8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6" t="s">
        <v>6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5" t="s">
        <v>7</v>
      </c>
    </row>
    <row r="14" customFormat="false" ht="26.85" hidden="false" customHeight="false" outlineLevel="0" collapsed="false">
      <c r="B14" s="6" t="s">
        <v>8</v>
      </c>
    </row>
    <row r="15" customFormat="false" ht="26.85" hidden="false" customHeight="false" outlineLevel="0" collapsed="false">
      <c r="B15" s="6" t="s">
        <v>9</v>
      </c>
    </row>
    <row r="16" customFormat="false" ht="15" hidden="false" customHeight="false" outlineLevel="0" collapsed="false">
      <c r="B16" s="6" t="s">
        <v>10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5" t="s">
        <v>11</v>
      </c>
    </row>
    <row r="19" customFormat="false" ht="26.85" hidden="false" customHeight="false" outlineLevel="0" collapsed="false">
      <c r="B19" s="6" t="s">
        <v>12</v>
      </c>
    </row>
    <row r="20" customFormat="false" ht="15" hidden="false" customHeight="false" outlineLevel="0" collapsed="false">
      <c r="B20" s="6" t="s">
        <v>13</v>
      </c>
    </row>
    <row r="21" customFormat="false" ht="15" hidden="false" customHeight="false" outlineLevel="0" collapsed="false">
      <c r="B21" s="6" t="s">
        <v>14</v>
      </c>
    </row>
    <row r="22" customFormat="false" ht="15" hidden="false" customHeight="false" outlineLevel="0" collapsed="false">
      <c r="B22" s="6" t="s">
        <v>15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2"/>
  </cols>
  <sheetData>
    <row r="1" customFormat="false" ht="43.5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I1" s="9" t="s">
        <v>24</v>
      </c>
    </row>
    <row r="2" customFormat="false" ht="15" hidden="false" customHeight="false" outlineLevel="0" collapsed="false">
      <c r="A2" s="10" t="n">
        <v>1</v>
      </c>
      <c r="B2" s="11" t="n">
        <v>4</v>
      </c>
      <c r="C2" s="11" t="n">
        <v>59</v>
      </c>
      <c r="D2" s="12" t="n">
        <f aca="false">C2</f>
        <v>59</v>
      </c>
      <c r="E2" s="12" t="n">
        <f aca="false">ABS(C2-D2)</f>
        <v>0</v>
      </c>
      <c r="F2" s="12" t="n">
        <f aca="false">INTERCEPT($C$2:$C$21,$B$2:$B$21)+SLOPE($C$2:$C$21,$B$2:$B$21)*B2</f>
        <v>56.1146460265858</v>
      </c>
      <c r="G2" s="12" t="n">
        <f aca="false">ABS(C2-F2)</f>
        <v>2.8853539734142</v>
      </c>
    </row>
    <row r="3" customFormat="false" ht="15" hidden="false" customHeight="false" outlineLevel="0" collapsed="false">
      <c r="A3" s="10" t="n">
        <v>2</v>
      </c>
      <c r="B3" s="11" t="n">
        <v>4.2</v>
      </c>
      <c r="C3" s="11" t="n">
        <v>45</v>
      </c>
      <c r="D3" s="12" t="n">
        <f aca="false">C3</f>
        <v>45</v>
      </c>
      <c r="E3" s="12" t="n">
        <f aca="false">ABS(C3-D3)</f>
        <v>0</v>
      </c>
      <c r="F3" s="12" t="n">
        <f aca="false">INTERCEPT($C$2:$C$21,$B$2:$B$21)+SLOPE($C$2:$C$21,$B$2:$B$21)*B3</f>
        <v>57.0067380417966</v>
      </c>
      <c r="G3" s="12" t="n">
        <f aca="false">ABS(C3-F3)</f>
        <v>12.0067380417966</v>
      </c>
    </row>
    <row r="4" customFormat="false" ht="15" hidden="false" customHeight="false" outlineLevel="0" collapsed="false">
      <c r="A4" s="10" t="n">
        <v>3</v>
      </c>
      <c r="B4" s="11" t="n">
        <v>10.5</v>
      </c>
      <c r="C4" s="11" t="n">
        <v>87</v>
      </c>
      <c r="D4" s="12" t="n">
        <f aca="false">C4</f>
        <v>87</v>
      </c>
      <c r="E4" s="12" t="n">
        <f aca="false">ABS(C4-D4)</f>
        <v>0</v>
      </c>
      <c r="F4" s="12" t="n">
        <f aca="false">INTERCEPT($C$2:$C$21,$B$2:$B$21)+SLOPE($C$2:$C$21,$B$2:$B$21)*B4</f>
        <v>85.1076365209369</v>
      </c>
      <c r="G4" s="12" t="n">
        <f aca="false">ABS(C4-F4)</f>
        <v>1.89236347906308</v>
      </c>
    </row>
    <row r="5" customFormat="false" ht="15" hidden="false" customHeight="false" outlineLevel="0" collapsed="false">
      <c r="A5" s="10" t="n">
        <v>4</v>
      </c>
      <c r="B5" s="11" t="n">
        <v>11.5</v>
      </c>
      <c r="C5" s="11" t="n">
        <v>80</v>
      </c>
      <c r="D5" s="12" t="n">
        <f aca="false">C5</f>
        <v>80</v>
      </c>
      <c r="E5" s="12" t="n">
        <f aca="false">ABS(C5-D5)</f>
        <v>0</v>
      </c>
      <c r="F5" s="12" t="n">
        <f aca="false">INTERCEPT($C$2:$C$21,$B$2:$B$21)+SLOPE($C$2:$C$21,$B$2:$B$21)*B5</f>
        <v>89.568096596991</v>
      </c>
      <c r="G5" s="12" t="n">
        <f aca="false">ABS(C5-F5)</f>
        <v>9.56809659699096</v>
      </c>
    </row>
    <row r="6" customFormat="false" ht="15" hidden="false" customHeight="false" outlineLevel="0" collapsed="false">
      <c r="A6" s="10" t="n">
        <v>5</v>
      </c>
      <c r="B6" s="11" t="n">
        <v>6.3</v>
      </c>
      <c r="C6" s="11" t="n">
        <v>74</v>
      </c>
      <c r="D6" s="12" t="n">
        <f aca="false">C6</f>
        <v>74</v>
      </c>
      <c r="E6" s="12" t="n">
        <f aca="false">ABS(C6-D6)</f>
        <v>0</v>
      </c>
      <c r="F6" s="12" t="n">
        <f aca="false">INTERCEPT($C$2:$C$21,$B$2:$B$21)+SLOPE($C$2:$C$21,$B$2:$B$21)*B6</f>
        <v>66.3737042015101</v>
      </c>
      <c r="G6" s="12" t="n">
        <f aca="false">ABS(C6-F6)</f>
        <v>7.62629579848995</v>
      </c>
    </row>
    <row r="7" customFormat="false" ht="15" hidden="false" customHeight="false" outlineLevel="0" collapsed="false">
      <c r="A7" s="10" t="n">
        <v>6</v>
      </c>
      <c r="B7" s="11" t="n">
        <v>7.8</v>
      </c>
      <c r="C7" s="11" t="n">
        <v>63</v>
      </c>
      <c r="D7" s="12" t="n">
        <f aca="false">C7</f>
        <v>63</v>
      </c>
      <c r="E7" s="12" t="n">
        <f aca="false">ABS(C7-D7)</f>
        <v>0</v>
      </c>
      <c r="F7" s="12" t="n">
        <f aca="false">INTERCEPT($C$2:$C$21,$B$2:$B$21)+SLOPE($C$2:$C$21,$B$2:$B$21)*B7</f>
        <v>73.0643943155911</v>
      </c>
      <c r="G7" s="12" t="n">
        <f aca="false">ABS(C7-F7)</f>
        <v>10.0643943155911</v>
      </c>
    </row>
    <row r="8" customFormat="false" ht="15" hidden="false" customHeight="false" outlineLevel="0" collapsed="false">
      <c r="A8" s="10" t="n">
        <v>7</v>
      </c>
      <c r="B8" s="11" t="n">
        <v>5.4</v>
      </c>
      <c r="C8" s="11" t="n">
        <v>71</v>
      </c>
      <c r="D8" s="12" t="n">
        <f aca="false">C8</f>
        <v>71</v>
      </c>
      <c r="E8" s="12" t="n">
        <f aca="false">ABS(C8-D8)</f>
        <v>0</v>
      </c>
      <c r="F8" s="12" t="n">
        <f aca="false">INTERCEPT($C$2:$C$21,$B$2:$B$21)+SLOPE($C$2:$C$21,$B$2:$B$21)*B8</f>
        <v>62.3592901330614</v>
      </c>
      <c r="G8" s="12" t="n">
        <f aca="false">ABS(C8-F8)</f>
        <v>8.64070986693857</v>
      </c>
    </row>
    <row r="9" customFormat="false" ht="15" hidden="false" customHeight="false" outlineLevel="0" collapsed="false">
      <c r="A9" s="10" t="n">
        <v>8</v>
      </c>
      <c r="B9" s="11" t="n">
        <v>2.8</v>
      </c>
      <c r="C9" s="11" t="n">
        <v>44</v>
      </c>
      <c r="D9" s="12" t="n">
        <f aca="false">C9</f>
        <v>44</v>
      </c>
      <c r="E9" s="12" t="n">
        <f aca="false">ABS(C9-D9)</f>
        <v>0</v>
      </c>
      <c r="F9" s="12" t="n">
        <f aca="false">INTERCEPT($C$2:$C$21,$B$2:$B$21)+SLOPE($C$2:$C$21,$B$2:$B$21)*B9</f>
        <v>50.762093935321</v>
      </c>
      <c r="G9" s="12" t="n">
        <f aca="false">ABS(C9-F9)</f>
        <v>6.76209393532098</v>
      </c>
    </row>
    <row r="10" customFormat="false" ht="15" hidden="false" customHeight="false" outlineLevel="0" collapsed="false">
      <c r="A10" s="10" t="n">
        <v>9</v>
      </c>
      <c r="B10" s="11" t="n">
        <v>11.4</v>
      </c>
      <c r="C10" s="11" t="n">
        <v>88</v>
      </c>
      <c r="D10" s="12" t="n">
        <f aca="false">C10</f>
        <v>88</v>
      </c>
      <c r="E10" s="12" t="n">
        <f aca="false">ABS(C10-D10)</f>
        <v>0</v>
      </c>
      <c r="F10" s="12" t="n">
        <f aca="false">INTERCEPT($C$2:$C$21,$B$2:$B$21)+SLOPE($C$2:$C$21,$B$2:$B$21)*B10</f>
        <v>89.1220505893855</v>
      </c>
      <c r="G10" s="12" t="n">
        <f aca="false">ABS(C10-F10)</f>
        <v>1.12205058938554</v>
      </c>
    </row>
    <row r="11" customFormat="false" ht="15" hidden="false" customHeight="false" outlineLevel="0" collapsed="false">
      <c r="A11" s="10" t="n">
        <v>10</v>
      </c>
      <c r="B11" s="11" t="n">
        <v>8.2</v>
      </c>
      <c r="C11" s="11" t="n">
        <v>85</v>
      </c>
      <c r="D11" s="12" t="n">
        <f aca="false">C11</f>
        <v>85</v>
      </c>
      <c r="E11" s="12" t="n">
        <f aca="false">ABS(C11-D11)</f>
        <v>0</v>
      </c>
      <c r="F11" s="12" t="n">
        <f aca="false">INTERCEPT($C$2:$C$21,$B$2:$B$21)+SLOPE($C$2:$C$21,$B$2:$B$21)*B11</f>
        <v>74.8485783460127</v>
      </c>
      <c r="G11" s="12" t="n">
        <f aca="false">ABS(C11-F11)</f>
        <v>10.1514216539873</v>
      </c>
    </row>
    <row r="12" customFormat="false" ht="15" hidden="false" customHeight="false" outlineLevel="0" collapsed="false">
      <c r="A12" s="10" t="n">
        <v>11</v>
      </c>
      <c r="B12" s="11" t="n">
        <v>1.7</v>
      </c>
      <c r="C12" s="11" t="n">
        <v>53</v>
      </c>
      <c r="D12" s="12" t="n">
        <f aca="false">C12</f>
        <v>53</v>
      </c>
      <c r="E12" s="12" t="n">
        <f aca="false">ABS(C12-D12)</f>
        <v>0</v>
      </c>
      <c r="F12" s="12" t="n">
        <f aca="false">INTERCEPT($C$2:$C$21,$B$2:$B$21)+SLOPE($C$2:$C$21,$B$2:$B$21)*B12</f>
        <v>45.8555878516616</v>
      </c>
      <c r="G12" s="12" t="n">
        <f aca="false">ABS(C12-F12)</f>
        <v>7.14441214833844</v>
      </c>
    </row>
    <row r="13" customFormat="false" ht="15" hidden="false" customHeight="false" outlineLevel="0" collapsed="false">
      <c r="A13" s="10" t="n">
        <v>12</v>
      </c>
      <c r="B13" s="11" t="n">
        <v>10.8</v>
      </c>
      <c r="C13" s="11" t="n">
        <v>91</v>
      </c>
      <c r="D13" s="12" t="n">
        <f aca="false">C13</f>
        <v>91</v>
      </c>
      <c r="E13" s="12" t="n">
        <f aca="false">ABS(C13-D13)</f>
        <v>0</v>
      </c>
      <c r="F13" s="12" t="n">
        <f aca="false">INTERCEPT($C$2:$C$21,$B$2:$B$21)+SLOPE($C$2:$C$21,$B$2:$B$21)*B13</f>
        <v>86.4457745437532</v>
      </c>
      <c r="G13" s="12" t="n">
        <f aca="false">ABS(C13-F13)</f>
        <v>4.55422545624685</v>
      </c>
    </row>
    <row r="14" customFormat="false" ht="15" hidden="false" customHeight="false" outlineLevel="0" collapsed="false">
      <c r="A14" s="10" t="n">
        <v>13</v>
      </c>
      <c r="B14" s="11" t="n">
        <v>10</v>
      </c>
      <c r="C14" s="11" t="n">
        <v>93</v>
      </c>
      <c r="D14" s="12" t="n">
        <f aca="false">C14</f>
        <v>93</v>
      </c>
      <c r="E14" s="12" t="n">
        <f aca="false">ABS(C14-D14)</f>
        <v>0</v>
      </c>
      <c r="F14" s="12" t="n">
        <f aca="false">INTERCEPT($C$2:$C$21,$B$2:$B$21)+SLOPE($C$2:$C$21,$B$2:$B$21)*B14</f>
        <v>82.8774064829099</v>
      </c>
      <c r="G14" s="12" t="n">
        <f aca="false">ABS(C14-F14)</f>
        <v>10.1225935170901</v>
      </c>
    </row>
    <row r="15" customFormat="false" ht="15" hidden="false" customHeight="false" outlineLevel="0" collapsed="false">
      <c r="A15" s="10" t="n">
        <v>14</v>
      </c>
      <c r="B15" s="11" t="n">
        <v>1.5</v>
      </c>
      <c r="C15" s="11" t="n">
        <v>47</v>
      </c>
      <c r="D15" s="12" t="n">
        <f aca="false">C15</f>
        <v>47</v>
      </c>
      <c r="E15" s="12" t="n">
        <f aca="false">ABS(C15-D15)</f>
        <v>0</v>
      </c>
      <c r="F15" s="12" t="n">
        <f aca="false">INTERCEPT($C$2:$C$21,$B$2:$B$21)+SLOPE($C$2:$C$21,$B$2:$B$21)*B15</f>
        <v>44.9634958364508</v>
      </c>
      <c r="G15" s="12" t="n">
        <f aca="false">ABS(C15-F15)</f>
        <v>2.03650416354925</v>
      </c>
    </row>
    <row r="16" customFormat="false" ht="15" hidden="false" customHeight="false" outlineLevel="0" collapsed="false">
      <c r="A16" s="10" t="n">
        <v>15</v>
      </c>
      <c r="B16" s="11" t="n">
        <v>11.6</v>
      </c>
      <c r="C16" s="11" t="n">
        <v>89</v>
      </c>
      <c r="D16" s="12" t="n">
        <f aca="false">C16</f>
        <v>89</v>
      </c>
      <c r="E16" s="12" t="n">
        <f aca="false">ABS(C16-D16)</f>
        <v>0</v>
      </c>
      <c r="F16" s="12" t="n">
        <f aca="false">INTERCEPT($C$2:$C$21,$B$2:$B$21)+SLOPE($C$2:$C$21,$B$2:$B$21)*B16</f>
        <v>90.0141426045963</v>
      </c>
      <c r="G16" s="12" t="n">
        <f aca="false">ABS(C16-F16)</f>
        <v>1.01414260459634</v>
      </c>
    </row>
    <row r="17" customFormat="false" ht="15" hidden="false" customHeight="false" outlineLevel="0" collapsed="false">
      <c r="A17" s="10" t="n">
        <v>16</v>
      </c>
      <c r="B17" s="11" t="n">
        <v>11.3</v>
      </c>
      <c r="C17" s="11" t="n">
        <v>95</v>
      </c>
      <c r="D17" s="12" t="n">
        <f aca="false">C17</f>
        <v>95</v>
      </c>
      <c r="E17" s="12" t="n">
        <f aca="false">ABS(C17-D17)</f>
        <v>0</v>
      </c>
      <c r="F17" s="12" t="n">
        <f aca="false">INTERCEPT($C$2:$C$21,$B$2:$B$21)+SLOPE($C$2:$C$21,$B$2:$B$21)*B17</f>
        <v>88.6760045817802</v>
      </c>
      <c r="G17" s="12" t="n">
        <f aca="false">ABS(C17-F17)</f>
        <v>6.32399541821985</v>
      </c>
    </row>
    <row r="18" customFormat="false" ht="15" hidden="false" customHeight="false" outlineLevel="0" collapsed="false">
      <c r="A18" s="10" t="n">
        <v>17</v>
      </c>
      <c r="B18" s="11" t="n">
        <v>8.4</v>
      </c>
      <c r="C18" s="11" t="n">
        <v>61</v>
      </c>
      <c r="D18" s="12" t="n">
        <f aca="false">C18</f>
        <v>61</v>
      </c>
      <c r="E18" s="12" t="n">
        <f aca="false">ABS(C18-D18)</f>
        <v>0</v>
      </c>
      <c r="F18" s="12" t="n">
        <f aca="false">INTERCEPT($C$2:$C$21,$B$2:$B$21)+SLOPE($C$2:$C$21,$B$2:$B$21)*B18</f>
        <v>75.7406703612235</v>
      </c>
      <c r="G18" s="12" t="n">
        <f aca="false">ABS(C18-F18)</f>
        <v>14.7406703612235</v>
      </c>
    </row>
    <row r="19" customFormat="false" ht="15" hidden="false" customHeight="false" outlineLevel="0" collapsed="false">
      <c r="A19" s="10" t="n">
        <v>18</v>
      </c>
      <c r="B19" s="11" t="n">
        <v>7.9</v>
      </c>
      <c r="C19" s="11" t="n">
        <v>67</v>
      </c>
      <c r="D19" s="12" t="n">
        <f aca="false">C19</f>
        <v>67</v>
      </c>
      <c r="E19" s="12" t="n">
        <f aca="false">ABS(C19-D19)</f>
        <v>0</v>
      </c>
      <c r="F19" s="12" t="n">
        <f aca="false">INTERCEPT($C$2:$C$21,$B$2:$B$21)+SLOPE($C$2:$C$21,$B$2:$B$21)*B19</f>
        <v>73.5104403231965</v>
      </c>
      <c r="G19" s="12" t="n">
        <f aca="false">ABS(C19-F19)</f>
        <v>6.51044032319648</v>
      </c>
    </row>
    <row r="20" customFormat="false" ht="15" hidden="false" customHeight="false" outlineLevel="0" collapsed="false">
      <c r="A20" s="10" t="n">
        <v>19</v>
      </c>
      <c r="B20" s="11" t="n">
        <v>5.6</v>
      </c>
      <c r="C20" s="11" t="n">
        <v>62</v>
      </c>
      <c r="D20" s="12" t="n">
        <f aca="false">C20</f>
        <v>62</v>
      </c>
      <c r="E20" s="12" t="n">
        <f aca="false">ABS(C20-D20)</f>
        <v>0</v>
      </c>
      <c r="F20" s="12" t="n">
        <f aca="false">INTERCEPT($C$2:$C$21,$B$2:$B$21)+SLOPE($C$2:$C$21,$B$2:$B$21)*B20</f>
        <v>63.2513821482722</v>
      </c>
      <c r="G20" s="12" t="n">
        <f aca="false">ABS(C20-F20)</f>
        <v>1.25138214827223</v>
      </c>
    </row>
    <row r="21" customFormat="false" ht="15" hidden="false" customHeight="false" outlineLevel="0" collapsed="false">
      <c r="A21" s="10" t="n">
        <v>20</v>
      </c>
      <c r="B21" s="11" t="n">
        <v>11</v>
      </c>
      <c r="C21" s="11" t="n">
        <v>89</v>
      </c>
      <c r="D21" s="12" t="n">
        <f aca="false">C21</f>
        <v>89</v>
      </c>
      <c r="E21" s="12" t="n">
        <f aca="false">ABS(C21-D21)</f>
        <v>0</v>
      </c>
      <c r="F21" s="12" t="n">
        <f aca="false">INTERCEPT($C$2:$C$21,$B$2:$B$21)+SLOPE($C$2:$C$21,$B$2:$B$21)*B21</f>
        <v>87.3378665589639</v>
      </c>
      <c r="G21" s="12" t="n">
        <f aca="false">ABS(C21-F21)</f>
        <v>1.66213344103606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27" min="8" style="0" width="9"/>
  </cols>
  <sheetData>
    <row r="1" customFormat="false" ht="55.5" hidden="false" customHeight="true" outlineLevel="0" collapsed="false">
      <c r="A1" s="8" t="s">
        <v>17</v>
      </c>
      <c r="B1" s="8" t="s">
        <v>18</v>
      </c>
      <c r="C1" s="8" t="s">
        <v>25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41</v>
      </c>
      <c r="X1" s="8" t="s">
        <v>42</v>
      </c>
      <c r="Y1" s="8" t="s">
        <v>43</v>
      </c>
      <c r="Z1" s="8" t="s">
        <v>44</v>
      </c>
      <c r="AA1" s="8" t="s">
        <v>45</v>
      </c>
      <c r="AC1" s="9" t="s">
        <v>46</v>
      </c>
    </row>
    <row r="2" customFormat="false" ht="15" hidden="false" customHeight="false" outlineLevel="0" collapsed="false">
      <c r="A2" s="10" t="n">
        <v>1</v>
      </c>
      <c r="B2" s="11" t="n">
        <v>6.2</v>
      </c>
      <c r="C2" s="11" t="n">
        <v>66</v>
      </c>
      <c r="D2" s="12" t="n">
        <f aca="false">INDEX(Train!$C$2:$C$21,MATCH(MIN(H2:AA2),H2:AA2,0))</f>
        <v>74</v>
      </c>
      <c r="E2" s="12" t="n">
        <f aca="false">ABS(C2-D2)</f>
        <v>8</v>
      </c>
      <c r="F2" s="12" t="n">
        <f aca="false">INTERCEPT(Train!$C$2:$C$21,Train!$B$2:$B$21)+SLOPE(Train!$C$2:$C$21,Train!$B$2:$B$21)*B2</f>
        <v>65.9276581939047</v>
      </c>
      <c r="G2" s="12" t="n">
        <f aca="false">ABS(C2-F2)</f>
        <v>0.072341806095352</v>
      </c>
      <c r="H2" s="12" t="n">
        <f aca="false">ABS($B2-Train!$B$2)</f>
        <v>2.2</v>
      </c>
      <c r="I2" s="12" t="n">
        <f aca="false">ABS($B2-Train!$B$3)</f>
        <v>2</v>
      </c>
      <c r="J2" s="12" t="n">
        <f aca="false">ABS($B2-Train!$B$4)</f>
        <v>4.3</v>
      </c>
      <c r="K2" s="12" t="n">
        <f aca="false">ABS($B2-Train!$B$5)</f>
        <v>5.3</v>
      </c>
      <c r="L2" s="12" t="n">
        <f aca="false">ABS($B2-Train!$B$6)</f>
        <v>0.0999999999999996</v>
      </c>
      <c r="M2" s="12" t="n">
        <f aca="false">ABS($B2-Train!$B$7)</f>
        <v>1.6</v>
      </c>
      <c r="N2" s="12" t="n">
        <f aca="false">ABS($B2-Train!$B$8)</f>
        <v>0.8</v>
      </c>
      <c r="O2" s="12" t="n">
        <f aca="false">ABS($B2-Train!$B$9)</f>
        <v>3.4</v>
      </c>
      <c r="P2" s="12" t="n">
        <f aca="false">ABS($B2-Train!$B$10)</f>
        <v>5.2</v>
      </c>
      <c r="Q2" s="12" t="n">
        <f aca="false">ABS($B2-Train!$B$11)</f>
        <v>2</v>
      </c>
      <c r="R2" s="12" t="n">
        <f aca="false">ABS($B2-Train!$B$12)</f>
        <v>4.5</v>
      </c>
      <c r="S2" s="12" t="n">
        <f aca="false">ABS($B2-Train!$B$13)</f>
        <v>4.6</v>
      </c>
      <c r="T2" s="12" t="n">
        <f aca="false">ABS($B2-Train!$B$14)</f>
        <v>3.8</v>
      </c>
      <c r="U2" s="12" t="n">
        <f aca="false">ABS($B2-Train!$B$15)</f>
        <v>4.7</v>
      </c>
      <c r="V2" s="12" t="n">
        <f aca="false">ABS($B2-Train!$B$16)</f>
        <v>5.4</v>
      </c>
      <c r="W2" s="12" t="n">
        <f aca="false">ABS($B2-Train!$B$17)</f>
        <v>5.1</v>
      </c>
      <c r="X2" s="12" t="n">
        <f aca="false">ABS($B2-Train!$B$18)</f>
        <v>2.2</v>
      </c>
      <c r="Y2" s="12" t="n">
        <f aca="false">ABS($B2-Train!$B$19)</f>
        <v>1.7</v>
      </c>
      <c r="Z2" s="12" t="n">
        <f aca="false">ABS($B2-Train!$B$20)</f>
        <v>0.600000000000001</v>
      </c>
      <c r="AA2" s="12" t="n">
        <f aca="false">ABS($B2-Train!$B$21)</f>
        <v>4.8</v>
      </c>
    </row>
    <row r="3" customFormat="false" ht="15" hidden="false" customHeight="false" outlineLevel="0" collapsed="false">
      <c r="A3" s="10" t="n">
        <v>2</v>
      </c>
      <c r="B3" s="11" t="n">
        <v>8.6</v>
      </c>
      <c r="C3" s="11" t="n">
        <v>78</v>
      </c>
      <c r="D3" s="12" t="n">
        <f aca="false">INDEX(Train!$C$2:$C$21,MATCH(MIN(H3:AA3),H3:AA3,0))</f>
        <v>61</v>
      </c>
      <c r="E3" s="12" t="n">
        <f aca="false">ABS(C3-D3)</f>
        <v>17</v>
      </c>
      <c r="F3" s="12" t="n">
        <f aca="false">INTERCEPT(Train!$C$2:$C$21,Train!$B$2:$B$21)+SLOPE(Train!$C$2:$C$21,Train!$B$2:$B$21)*B3</f>
        <v>76.6327623764343</v>
      </c>
      <c r="G3" s="12" t="n">
        <f aca="false">ABS(C3-F3)</f>
        <v>1.3672376235657</v>
      </c>
      <c r="H3" s="12" t="n">
        <f aca="false">ABS($B3-Train!$B$2)</f>
        <v>4.6</v>
      </c>
      <c r="I3" s="12" t="n">
        <f aca="false">ABS($B3-Train!$B$3)</f>
        <v>4.4</v>
      </c>
      <c r="J3" s="12" t="n">
        <f aca="false">ABS($B3-Train!$B$4)</f>
        <v>1.9</v>
      </c>
      <c r="K3" s="12" t="n">
        <f aca="false">ABS($B3-Train!$B$5)</f>
        <v>2.9</v>
      </c>
      <c r="L3" s="12" t="n">
        <f aca="false">ABS($B3-Train!$B$6)</f>
        <v>2.3</v>
      </c>
      <c r="M3" s="12" t="n">
        <f aca="false">ABS($B3-Train!$B$7)</f>
        <v>0.8</v>
      </c>
      <c r="N3" s="12" t="n">
        <f aca="false">ABS($B3-Train!$B$8)</f>
        <v>3.2</v>
      </c>
      <c r="O3" s="12" t="n">
        <f aca="false">ABS($B3-Train!$B$9)</f>
        <v>5.8</v>
      </c>
      <c r="P3" s="12" t="n">
        <f aca="false">ABS($B3-Train!$B$10)</f>
        <v>2.8</v>
      </c>
      <c r="Q3" s="12" t="n">
        <f aca="false">ABS($B3-Train!$B$11)</f>
        <v>0.4</v>
      </c>
      <c r="R3" s="12" t="n">
        <f aca="false">ABS($B3-Train!$B$12)</f>
        <v>6.9</v>
      </c>
      <c r="S3" s="12" t="n">
        <f aca="false">ABS($B3-Train!$B$13)</f>
        <v>2.2</v>
      </c>
      <c r="T3" s="12" t="n">
        <f aca="false">ABS($B3-Train!$B$14)</f>
        <v>1.4</v>
      </c>
      <c r="U3" s="12" t="n">
        <f aca="false">ABS($B3-Train!$B$15)</f>
        <v>7.1</v>
      </c>
      <c r="V3" s="12" t="n">
        <f aca="false">ABS($B3-Train!$B$16)</f>
        <v>3</v>
      </c>
      <c r="W3" s="12" t="n">
        <f aca="false">ABS($B3-Train!$B$17)</f>
        <v>2.7</v>
      </c>
      <c r="X3" s="12" t="n">
        <f aca="false">ABS($B3-Train!$B$18)</f>
        <v>0.199999999999999</v>
      </c>
      <c r="Y3" s="12" t="n">
        <f aca="false">ABS($B3-Train!$B$19)</f>
        <v>0.699999999999999</v>
      </c>
      <c r="Z3" s="12" t="n">
        <f aca="false">ABS($B3-Train!$B$20)</f>
        <v>3</v>
      </c>
      <c r="AA3" s="12" t="n">
        <f aca="false">ABS($B3-Train!$B$21)</f>
        <v>2.4</v>
      </c>
    </row>
    <row r="4" customFormat="false" ht="15" hidden="false" customHeight="false" outlineLevel="0" collapsed="false">
      <c r="A4" s="10" t="n">
        <v>3</v>
      </c>
      <c r="B4" s="11" t="n">
        <v>8.6</v>
      </c>
      <c r="C4" s="11" t="n">
        <v>69</v>
      </c>
      <c r="D4" s="12" t="n">
        <f aca="false">INDEX(Train!$C$2:$C$21,MATCH(MIN(H4:AA4),H4:AA4,0))</f>
        <v>61</v>
      </c>
      <c r="E4" s="12" t="n">
        <f aca="false">ABS(C4-D4)</f>
        <v>8</v>
      </c>
      <c r="F4" s="12" t="n">
        <f aca="false">INTERCEPT(Train!$C$2:$C$21,Train!$B$2:$B$21)+SLOPE(Train!$C$2:$C$21,Train!$B$2:$B$21)*B4</f>
        <v>76.6327623764343</v>
      </c>
      <c r="G4" s="12" t="n">
        <f aca="false">ABS(C4-F4)</f>
        <v>7.6327623764343</v>
      </c>
      <c r="H4" s="12" t="n">
        <f aca="false">ABS($B4-Train!$B$2)</f>
        <v>4.6</v>
      </c>
      <c r="I4" s="12" t="n">
        <f aca="false">ABS($B4-Train!$B$3)</f>
        <v>4.4</v>
      </c>
      <c r="J4" s="12" t="n">
        <f aca="false">ABS($B4-Train!$B$4)</f>
        <v>1.9</v>
      </c>
      <c r="K4" s="12" t="n">
        <f aca="false">ABS($B4-Train!$B$5)</f>
        <v>2.9</v>
      </c>
      <c r="L4" s="12" t="n">
        <f aca="false">ABS($B4-Train!$B$6)</f>
        <v>2.3</v>
      </c>
      <c r="M4" s="12" t="n">
        <f aca="false">ABS($B4-Train!$B$7)</f>
        <v>0.8</v>
      </c>
      <c r="N4" s="12" t="n">
        <f aca="false">ABS($B4-Train!$B$8)</f>
        <v>3.2</v>
      </c>
      <c r="O4" s="12" t="n">
        <f aca="false">ABS($B4-Train!$B$9)</f>
        <v>5.8</v>
      </c>
      <c r="P4" s="12" t="n">
        <f aca="false">ABS($B4-Train!$B$10)</f>
        <v>2.8</v>
      </c>
      <c r="Q4" s="12" t="n">
        <f aca="false">ABS($B4-Train!$B$11)</f>
        <v>0.4</v>
      </c>
      <c r="R4" s="12" t="n">
        <f aca="false">ABS($B4-Train!$B$12)</f>
        <v>6.9</v>
      </c>
      <c r="S4" s="12" t="n">
        <f aca="false">ABS($B4-Train!$B$13)</f>
        <v>2.2</v>
      </c>
      <c r="T4" s="12" t="n">
        <f aca="false">ABS($B4-Train!$B$14)</f>
        <v>1.4</v>
      </c>
      <c r="U4" s="12" t="n">
        <f aca="false">ABS($B4-Train!$B$15)</f>
        <v>7.1</v>
      </c>
      <c r="V4" s="12" t="n">
        <f aca="false">ABS($B4-Train!$B$16)</f>
        <v>3</v>
      </c>
      <c r="W4" s="12" t="n">
        <f aca="false">ABS($B4-Train!$B$17)</f>
        <v>2.7</v>
      </c>
      <c r="X4" s="12" t="n">
        <f aca="false">ABS($B4-Train!$B$18)</f>
        <v>0.199999999999999</v>
      </c>
      <c r="Y4" s="12" t="n">
        <f aca="false">ABS($B4-Train!$B$19)</f>
        <v>0.699999999999999</v>
      </c>
      <c r="Z4" s="12" t="n">
        <f aca="false">ABS($B4-Train!$B$20)</f>
        <v>3</v>
      </c>
      <c r="AA4" s="12" t="n">
        <f aca="false">ABS($B4-Train!$B$21)</f>
        <v>2.4</v>
      </c>
    </row>
    <row r="5" customFormat="false" ht="15" hidden="false" customHeight="false" outlineLevel="0" collapsed="false">
      <c r="A5" s="10" t="n">
        <v>4</v>
      </c>
      <c r="B5" s="11" t="n">
        <v>7.5</v>
      </c>
      <c r="C5" s="11" t="n">
        <v>79</v>
      </c>
      <c r="D5" s="12" t="n">
        <f aca="false">INDEX(Train!$C$2:$C$21,MATCH(MIN(H5:AA5),H5:AA5,0))</f>
        <v>63</v>
      </c>
      <c r="E5" s="12" t="n">
        <f aca="false">ABS(C5-D5)</f>
        <v>16</v>
      </c>
      <c r="F5" s="12" t="n">
        <f aca="false">INTERCEPT(Train!$C$2:$C$21,Train!$B$2:$B$21)+SLOPE(Train!$C$2:$C$21,Train!$B$2:$B$21)*B5</f>
        <v>71.7262562927749</v>
      </c>
      <c r="G5" s="12" t="n">
        <f aca="false">ABS(C5-F5)</f>
        <v>7.27374370722512</v>
      </c>
      <c r="H5" s="12" t="n">
        <f aca="false">ABS($B5-Train!$B$2)</f>
        <v>3.5</v>
      </c>
      <c r="I5" s="12" t="n">
        <f aca="false">ABS($B5-Train!$B$3)</f>
        <v>3.3</v>
      </c>
      <c r="J5" s="12" t="n">
        <f aca="false">ABS($B5-Train!$B$4)</f>
        <v>3</v>
      </c>
      <c r="K5" s="12" t="n">
        <f aca="false">ABS($B5-Train!$B$5)</f>
        <v>4</v>
      </c>
      <c r="L5" s="12" t="n">
        <f aca="false">ABS($B5-Train!$B$6)</f>
        <v>1.2</v>
      </c>
      <c r="M5" s="12" t="n">
        <f aca="false">ABS($B5-Train!$B$7)</f>
        <v>0.3</v>
      </c>
      <c r="N5" s="12" t="n">
        <f aca="false">ABS($B5-Train!$B$8)</f>
        <v>2.1</v>
      </c>
      <c r="O5" s="12" t="n">
        <f aca="false">ABS($B5-Train!$B$9)</f>
        <v>4.7</v>
      </c>
      <c r="P5" s="12" t="n">
        <f aca="false">ABS($B5-Train!$B$10)</f>
        <v>3.9</v>
      </c>
      <c r="Q5" s="12" t="n">
        <f aca="false">ABS($B5-Train!$B$11)</f>
        <v>0.699999999999999</v>
      </c>
      <c r="R5" s="12" t="n">
        <f aca="false">ABS($B5-Train!$B$12)</f>
        <v>5.8</v>
      </c>
      <c r="S5" s="12" t="n">
        <f aca="false">ABS($B5-Train!$B$13)</f>
        <v>3.3</v>
      </c>
      <c r="T5" s="12" t="n">
        <f aca="false">ABS($B5-Train!$B$14)</f>
        <v>2.5</v>
      </c>
      <c r="U5" s="12" t="n">
        <f aca="false">ABS($B5-Train!$B$15)</f>
        <v>6</v>
      </c>
      <c r="V5" s="12" t="n">
        <f aca="false">ABS($B5-Train!$B$16)</f>
        <v>4.1</v>
      </c>
      <c r="W5" s="12" t="n">
        <f aca="false">ABS($B5-Train!$B$17)</f>
        <v>3.8</v>
      </c>
      <c r="X5" s="12" t="n">
        <f aca="false">ABS($B5-Train!$B$18)</f>
        <v>0.9</v>
      </c>
      <c r="Y5" s="12" t="n">
        <f aca="false">ABS($B5-Train!$B$19)</f>
        <v>0.4</v>
      </c>
      <c r="Z5" s="12" t="n">
        <f aca="false">ABS($B5-Train!$B$20)</f>
        <v>1.9</v>
      </c>
      <c r="AA5" s="12" t="n">
        <f aca="false">ABS($B5-Train!$B$21)</f>
        <v>3.5</v>
      </c>
    </row>
    <row r="6" customFormat="false" ht="15" hidden="false" customHeight="false" outlineLevel="0" collapsed="false">
      <c r="A6" s="10" t="n">
        <v>5</v>
      </c>
      <c r="B6" s="11" t="n">
        <v>11.2</v>
      </c>
      <c r="C6" s="11" t="n">
        <v>82</v>
      </c>
      <c r="D6" s="12" t="n">
        <f aca="false">INDEX(Train!$C$2:$C$21,MATCH(MIN(H6:AA6),H6:AA6,0))</f>
        <v>95</v>
      </c>
      <c r="E6" s="12" t="n">
        <f aca="false">ABS(C6-D6)</f>
        <v>13</v>
      </c>
      <c r="F6" s="12" t="n">
        <f aca="false">INTERCEPT(Train!$C$2:$C$21,Train!$B$2:$B$21)+SLOPE(Train!$C$2:$C$21,Train!$B$2:$B$21)*B6</f>
        <v>88.2299585741747</v>
      </c>
      <c r="G6" s="12" t="n">
        <f aca="false">ABS(C6-F6)</f>
        <v>6.22995857417473</v>
      </c>
      <c r="H6" s="12" t="n">
        <f aca="false">ABS($B6-Train!$B$2)</f>
        <v>7.2</v>
      </c>
      <c r="I6" s="12" t="n">
        <f aca="false">ABS($B6-Train!$B$3)</f>
        <v>7</v>
      </c>
      <c r="J6" s="12" t="n">
        <f aca="false">ABS($B6-Train!$B$4)</f>
        <v>0.699999999999999</v>
      </c>
      <c r="K6" s="12" t="n">
        <f aca="false">ABS($B6-Train!$B$5)</f>
        <v>0.300000000000001</v>
      </c>
      <c r="L6" s="12" t="n">
        <f aca="false">ABS($B6-Train!$B$6)</f>
        <v>4.9</v>
      </c>
      <c r="M6" s="12" t="n">
        <f aca="false">ABS($B6-Train!$B$7)</f>
        <v>3.4</v>
      </c>
      <c r="N6" s="12" t="n">
        <f aca="false">ABS($B6-Train!$B$8)</f>
        <v>5.8</v>
      </c>
      <c r="O6" s="12" t="n">
        <f aca="false">ABS($B6-Train!$B$9)</f>
        <v>8.4</v>
      </c>
      <c r="P6" s="12" t="n">
        <f aca="false">ABS($B6-Train!$B$10)</f>
        <v>0.200000000000001</v>
      </c>
      <c r="Q6" s="12" t="n">
        <f aca="false">ABS($B6-Train!$B$11)</f>
        <v>3</v>
      </c>
      <c r="R6" s="12" t="n">
        <f aca="false">ABS($B6-Train!$B$12)</f>
        <v>9.5</v>
      </c>
      <c r="S6" s="12" t="n">
        <f aca="false">ABS($B6-Train!$B$13)</f>
        <v>0.399999999999999</v>
      </c>
      <c r="T6" s="12" t="n">
        <f aca="false">ABS($B6-Train!$B$14)</f>
        <v>1.2</v>
      </c>
      <c r="U6" s="12" t="n">
        <f aca="false">ABS($B6-Train!$B$15)</f>
        <v>9.7</v>
      </c>
      <c r="V6" s="12" t="n">
        <f aca="false">ABS($B6-Train!$B$16)</f>
        <v>0.4</v>
      </c>
      <c r="W6" s="12" t="n">
        <f aca="false">ABS($B6-Train!$B$17)</f>
        <v>0.100000000000001</v>
      </c>
      <c r="X6" s="12" t="n">
        <f aca="false">ABS($B6-Train!$B$18)</f>
        <v>2.8</v>
      </c>
      <c r="Y6" s="12" t="n">
        <f aca="false">ABS($B6-Train!$B$19)</f>
        <v>3.3</v>
      </c>
      <c r="Z6" s="12" t="n">
        <f aca="false">ABS($B6-Train!$B$20)</f>
        <v>5.6</v>
      </c>
      <c r="AA6" s="12" t="n">
        <f aca="false">ABS($B6-Train!$B$21)</f>
        <v>0.199999999999999</v>
      </c>
    </row>
    <row r="7" customFormat="false" ht="15" hidden="false" customHeight="false" outlineLevel="0" collapsed="false">
      <c r="A7" s="10" t="n">
        <v>6</v>
      </c>
      <c r="B7" s="11" t="n">
        <v>8.1</v>
      </c>
      <c r="C7" s="11" t="n">
        <v>83</v>
      </c>
      <c r="D7" s="12" t="n">
        <f aca="false">INDEX(Train!$C$2:$C$21,MATCH(MIN(H7:AA7),H7:AA7,0))</f>
        <v>85</v>
      </c>
      <c r="E7" s="12" t="n">
        <f aca="false">ABS(C7-D7)</f>
        <v>2</v>
      </c>
      <c r="F7" s="12" t="n">
        <f aca="false">INTERCEPT(Train!$C$2:$C$21,Train!$B$2:$B$21)+SLOPE(Train!$C$2:$C$21,Train!$B$2:$B$21)*B7</f>
        <v>74.4025323384073</v>
      </c>
      <c r="G7" s="12" t="n">
        <f aca="false">ABS(C7-F7)</f>
        <v>8.59746766159272</v>
      </c>
      <c r="H7" s="12" t="n">
        <f aca="false">ABS($B7-Train!$B$2)</f>
        <v>4.1</v>
      </c>
      <c r="I7" s="12" t="n">
        <f aca="false">ABS($B7-Train!$B$3)</f>
        <v>3.9</v>
      </c>
      <c r="J7" s="12" t="n">
        <f aca="false">ABS($B7-Train!$B$4)</f>
        <v>2.4</v>
      </c>
      <c r="K7" s="12" t="n">
        <f aca="false">ABS($B7-Train!$B$5)</f>
        <v>3.4</v>
      </c>
      <c r="L7" s="12" t="n">
        <f aca="false">ABS($B7-Train!$B$6)</f>
        <v>1.8</v>
      </c>
      <c r="M7" s="12" t="n">
        <f aca="false">ABS($B7-Train!$B$7)</f>
        <v>0.3</v>
      </c>
      <c r="N7" s="12" t="n">
        <f aca="false">ABS($B7-Train!$B$8)</f>
        <v>2.7</v>
      </c>
      <c r="O7" s="12" t="n">
        <f aca="false">ABS($B7-Train!$B$9)</f>
        <v>5.3</v>
      </c>
      <c r="P7" s="12" t="n">
        <f aca="false">ABS($B7-Train!$B$10)</f>
        <v>3.3</v>
      </c>
      <c r="Q7" s="12" t="n">
        <f aca="false">ABS($B7-Train!$B$11)</f>
        <v>0.0999999999999996</v>
      </c>
      <c r="R7" s="12" t="n">
        <f aca="false">ABS($B7-Train!$B$12)</f>
        <v>6.4</v>
      </c>
      <c r="S7" s="12" t="n">
        <f aca="false">ABS($B7-Train!$B$13)</f>
        <v>2.7</v>
      </c>
      <c r="T7" s="12" t="n">
        <f aca="false">ABS($B7-Train!$B$14)</f>
        <v>1.9</v>
      </c>
      <c r="U7" s="12" t="n">
        <f aca="false">ABS($B7-Train!$B$15)</f>
        <v>6.6</v>
      </c>
      <c r="V7" s="12" t="n">
        <f aca="false">ABS($B7-Train!$B$16)</f>
        <v>3.5</v>
      </c>
      <c r="W7" s="12" t="n">
        <f aca="false">ABS($B7-Train!$B$17)</f>
        <v>3.2</v>
      </c>
      <c r="X7" s="12" t="n">
        <f aca="false">ABS($B7-Train!$B$18)</f>
        <v>0.300000000000001</v>
      </c>
      <c r="Y7" s="12" t="n">
        <f aca="false">ABS($B7-Train!$B$19)</f>
        <v>0.199999999999999</v>
      </c>
      <c r="Z7" s="12" t="n">
        <f aca="false">ABS($B7-Train!$B$20)</f>
        <v>2.5</v>
      </c>
      <c r="AA7" s="12" t="n">
        <f aca="false">ABS($B7-Train!$B$21)</f>
        <v>2.9</v>
      </c>
    </row>
    <row r="8" customFormat="false" ht="15" hidden="false" customHeight="false" outlineLevel="0" collapsed="false">
      <c r="A8" s="10" t="n">
        <v>7</v>
      </c>
      <c r="B8" s="11" t="n">
        <v>7.7</v>
      </c>
      <c r="C8" s="11" t="n">
        <v>86</v>
      </c>
      <c r="D8" s="12" t="n">
        <f aca="false">INDEX(Train!$C$2:$C$21,MATCH(MIN(H8:AA8),H8:AA8,0))</f>
        <v>63</v>
      </c>
      <c r="E8" s="12" t="n">
        <f aca="false">ABS(C8-D8)</f>
        <v>23</v>
      </c>
      <c r="F8" s="12" t="n">
        <f aca="false">INTERCEPT(Train!$C$2:$C$21,Train!$B$2:$B$21)+SLOPE(Train!$C$2:$C$21,Train!$B$2:$B$21)*B8</f>
        <v>72.6183483079857</v>
      </c>
      <c r="G8" s="12" t="n">
        <f aca="false">ABS(C8-F8)</f>
        <v>13.3816516920143</v>
      </c>
      <c r="H8" s="12" t="n">
        <f aca="false">ABS($B8-Train!$B$2)</f>
        <v>3.7</v>
      </c>
      <c r="I8" s="12" t="n">
        <f aca="false">ABS($B8-Train!$B$3)</f>
        <v>3.5</v>
      </c>
      <c r="J8" s="12" t="n">
        <f aca="false">ABS($B8-Train!$B$4)</f>
        <v>2.8</v>
      </c>
      <c r="K8" s="12" t="n">
        <f aca="false">ABS($B8-Train!$B$5)</f>
        <v>3.8</v>
      </c>
      <c r="L8" s="12" t="n">
        <f aca="false">ABS($B8-Train!$B$6)</f>
        <v>1.4</v>
      </c>
      <c r="M8" s="12" t="n">
        <f aca="false">ABS($B8-Train!$B$7)</f>
        <v>0.0999999999999996</v>
      </c>
      <c r="N8" s="12" t="n">
        <f aca="false">ABS($B8-Train!$B$8)</f>
        <v>2.3</v>
      </c>
      <c r="O8" s="12" t="n">
        <f aca="false">ABS($B8-Train!$B$9)</f>
        <v>4.9</v>
      </c>
      <c r="P8" s="12" t="n">
        <f aca="false">ABS($B8-Train!$B$10)</f>
        <v>3.7</v>
      </c>
      <c r="Q8" s="12" t="n">
        <f aca="false">ABS($B8-Train!$B$11)</f>
        <v>0.499999999999999</v>
      </c>
      <c r="R8" s="12" t="n">
        <f aca="false">ABS($B8-Train!$B$12)</f>
        <v>6</v>
      </c>
      <c r="S8" s="12" t="n">
        <f aca="false">ABS($B8-Train!$B$13)</f>
        <v>3.1</v>
      </c>
      <c r="T8" s="12" t="n">
        <f aca="false">ABS($B8-Train!$B$14)</f>
        <v>2.3</v>
      </c>
      <c r="U8" s="12" t="n">
        <f aca="false">ABS($B8-Train!$B$15)</f>
        <v>6.2</v>
      </c>
      <c r="V8" s="12" t="n">
        <f aca="false">ABS($B8-Train!$B$16)</f>
        <v>3.9</v>
      </c>
      <c r="W8" s="12" t="n">
        <f aca="false">ABS($B8-Train!$B$17)</f>
        <v>3.6</v>
      </c>
      <c r="X8" s="12" t="n">
        <f aca="false">ABS($B8-Train!$B$18)</f>
        <v>0.7</v>
      </c>
      <c r="Y8" s="12" t="n">
        <f aca="false">ABS($B8-Train!$B$19)</f>
        <v>0.2</v>
      </c>
      <c r="Z8" s="12" t="n">
        <f aca="false">ABS($B8-Train!$B$20)</f>
        <v>2.1</v>
      </c>
      <c r="AA8" s="12" t="n">
        <f aca="false">ABS($B8-Train!$B$21)</f>
        <v>3.3</v>
      </c>
    </row>
    <row r="9" customFormat="false" ht="15" hidden="false" customHeight="false" outlineLevel="0" collapsed="false">
      <c r="A9" s="10" t="n">
        <v>8</v>
      </c>
      <c r="B9" s="11" t="n">
        <v>6.4</v>
      </c>
      <c r="C9" s="11" t="n">
        <v>54</v>
      </c>
      <c r="D9" s="12" t="n">
        <f aca="false">INDEX(Train!$C$2:$C$21,MATCH(MIN(H9:AA9),H9:AA9,0))</f>
        <v>74</v>
      </c>
      <c r="E9" s="12" t="n">
        <f aca="false">ABS(C9-D9)</f>
        <v>20</v>
      </c>
      <c r="F9" s="12" t="n">
        <f aca="false">INTERCEPT(Train!$C$2:$C$21,Train!$B$2:$B$21)+SLOPE(Train!$C$2:$C$21,Train!$B$2:$B$21)*B9</f>
        <v>66.8197502091155</v>
      </c>
      <c r="G9" s="12" t="n">
        <f aca="false">ABS(C9-F9)</f>
        <v>12.8197502091155</v>
      </c>
      <c r="H9" s="12" t="n">
        <f aca="false">ABS($B9-Train!$B$2)</f>
        <v>2.4</v>
      </c>
      <c r="I9" s="12" t="n">
        <f aca="false">ABS($B9-Train!$B$3)</f>
        <v>2.2</v>
      </c>
      <c r="J9" s="12" t="n">
        <f aca="false">ABS($B9-Train!$B$4)</f>
        <v>4.1</v>
      </c>
      <c r="K9" s="12" t="n">
        <f aca="false">ABS($B9-Train!$B$5)</f>
        <v>5.1</v>
      </c>
      <c r="L9" s="12" t="n">
        <f aca="false">ABS($B9-Train!$B$6)</f>
        <v>0.100000000000001</v>
      </c>
      <c r="M9" s="12" t="n">
        <f aca="false">ABS($B9-Train!$B$7)</f>
        <v>1.4</v>
      </c>
      <c r="N9" s="12" t="n">
        <f aca="false">ABS($B9-Train!$B$8)</f>
        <v>1</v>
      </c>
      <c r="O9" s="12" t="n">
        <f aca="false">ABS($B9-Train!$B$9)</f>
        <v>3.6</v>
      </c>
      <c r="P9" s="12" t="n">
        <f aca="false">ABS($B9-Train!$B$10)</f>
        <v>5</v>
      </c>
      <c r="Q9" s="12" t="n">
        <f aca="false">ABS($B9-Train!$B$11)</f>
        <v>1.8</v>
      </c>
      <c r="R9" s="12" t="n">
        <f aca="false">ABS($B9-Train!$B$12)</f>
        <v>4.7</v>
      </c>
      <c r="S9" s="12" t="n">
        <f aca="false">ABS($B9-Train!$B$13)</f>
        <v>4.4</v>
      </c>
      <c r="T9" s="12" t="n">
        <f aca="false">ABS($B9-Train!$B$14)</f>
        <v>3.6</v>
      </c>
      <c r="U9" s="12" t="n">
        <f aca="false">ABS($B9-Train!$B$15)</f>
        <v>4.9</v>
      </c>
      <c r="V9" s="12" t="n">
        <f aca="false">ABS($B9-Train!$B$16)</f>
        <v>5.2</v>
      </c>
      <c r="W9" s="12" t="n">
        <f aca="false">ABS($B9-Train!$B$17)</f>
        <v>4.9</v>
      </c>
      <c r="X9" s="12" t="n">
        <f aca="false">ABS($B9-Train!$B$18)</f>
        <v>2</v>
      </c>
      <c r="Y9" s="12" t="n">
        <f aca="false">ABS($B9-Train!$B$19)</f>
        <v>1.5</v>
      </c>
      <c r="Z9" s="12" t="n">
        <f aca="false">ABS($B9-Train!$B$20)</f>
        <v>0.800000000000001</v>
      </c>
      <c r="AA9" s="12" t="n">
        <f aca="false">ABS($B9-Train!$B$21)</f>
        <v>4.6</v>
      </c>
    </row>
    <row r="10" customFormat="false" ht="15" hidden="false" customHeight="false" outlineLevel="0" collapsed="false">
      <c r="A10" s="10" t="n">
        <v>9</v>
      </c>
      <c r="B10" s="11" t="n">
        <v>6.5</v>
      </c>
      <c r="C10" s="11" t="n">
        <v>56</v>
      </c>
      <c r="D10" s="12" t="n">
        <f aca="false">INDEX(Train!$C$2:$C$21,MATCH(MIN(H10:AA10),H10:AA10,0))</f>
        <v>74</v>
      </c>
      <c r="E10" s="12" t="n">
        <f aca="false">ABS(C10-D10)</f>
        <v>18</v>
      </c>
      <c r="F10" s="12" t="n">
        <f aca="false">INTERCEPT(Train!$C$2:$C$21,Train!$B$2:$B$21)+SLOPE(Train!$C$2:$C$21,Train!$B$2:$B$21)*B10</f>
        <v>67.2657962167208</v>
      </c>
      <c r="G10" s="12" t="n">
        <f aca="false">ABS(C10-F10)</f>
        <v>11.2657962167208</v>
      </c>
      <c r="H10" s="12" t="n">
        <f aca="false">ABS($B10-Train!$B$2)</f>
        <v>2.5</v>
      </c>
      <c r="I10" s="12" t="n">
        <f aca="false">ABS($B10-Train!$B$3)</f>
        <v>2.3</v>
      </c>
      <c r="J10" s="12" t="n">
        <f aca="false">ABS($B10-Train!$B$4)</f>
        <v>4</v>
      </c>
      <c r="K10" s="12" t="n">
        <f aca="false">ABS($B10-Train!$B$5)</f>
        <v>5</v>
      </c>
      <c r="L10" s="12" t="n">
        <f aca="false">ABS($B10-Train!$B$6)</f>
        <v>0.2</v>
      </c>
      <c r="M10" s="12" t="n">
        <f aca="false">ABS($B10-Train!$B$7)</f>
        <v>1.3</v>
      </c>
      <c r="N10" s="12" t="n">
        <f aca="false">ABS($B10-Train!$B$8)</f>
        <v>1.1</v>
      </c>
      <c r="O10" s="12" t="n">
        <f aca="false">ABS($B10-Train!$B$9)</f>
        <v>3.7</v>
      </c>
      <c r="P10" s="12" t="n">
        <f aca="false">ABS($B10-Train!$B$10)</f>
        <v>4.9</v>
      </c>
      <c r="Q10" s="12" t="n">
        <f aca="false">ABS($B10-Train!$B$11)</f>
        <v>1.7</v>
      </c>
      <c r="R10" s="12" t="n">
        <f aca="false">ABS($B10-Train!$B$12)</f>
        <v>4.8</v>
      </c>
      <c r="S10" s="12" t="n">
        <f aca="false">ABS($B10-Train!$B$13)</f>
        <v>4.3</v>
      </c>
      <c r="T10" s="12" t="n">
        <f aca="false">ABS($B10-Train!$B$14)</f>
        <v>3.5</v>
      </c>
      <c r="U10" s="12" t="n">
        <f aca="false">ABS($B10-Train!$B$15)</f>
        <v>5</v>
      </c>
      <c r="V10" s="12" t="n">
        <f aca="false">ABS($B10-Train!$B$16)</f>
        <v>5.1</v>
      </c>
      <c r="W10" s="12" t="n">
        <f aca="false">ABS($B10-Train!$B$17)</f>
        <v>4.8</v>
      </c>
      <c r="X10" s="12" t="n">
        <f aca="false">ABS($B10-Train!$B$18)</f>
        <v>1.9</v>
      </c>
      <c r="Y10" s="12" t="n">
        <f aca="false">ABS($B10-Train!$B$19)</f>
        <v>1.4</v>
      </c>
      <c r="Z10" s="12" t="n">
        <f aca="false">ABS($B10-Train!$B$20)</f>
        <v>0.9</v>
      </c>
      <c r="AA10" s="12" t="n">
        <f aca="false">ABS($B10-Train!$B$21)</f>
        <v>4.5</v>
      </c>
    </row>
    <row r="11" customFormat="false" ht="15" hidden="false" customHeight="false" outlineLevel="0" collapsed="false">
      <c r="A11" s="10" t="n">
        <v>10</v>
      </c>
      <c r="B11" s="11" t="n">
        <v>4.1</v>
      </c>
      <c r="C11" s="11" t="n">
        <v>59</v>
      </c>
      <c r="D11" s="12" t="n">
        <f aca="false">INDEX(Train!$C$2:$C$21,MATCH(MIN(H11:AA11),H11:AA11,0))</f>
        <v>59</v>
      </c>
      <c r="E11" s="12" t="n">
        <f aca="false">ABS(C11-D11)</f>
        <v>0</v>
      </c>
      <c r="F11" s="12" t="n">
        <f aca="false">INTERCEPT(Train!$C$2:$C$21,Train!$B$2:$B$21)+SLOPE(Train!$C$2:$C$21,Train!$B$2:$B$21)*B11</f>
        <v>56.5606920341912</v>
      </c>
      <c r="G11" s="12" t="n">
        <f aca="false">ABS(C11-F11)</f>
        <v>2.43930796580879</v>
      </c>
      <c r="H11" s="12" t="n">
        <f aca="false">ABS($B11-Train!$B$2)</f>
        <v>0.0999999999999996</v>
      </c>
      <c r="I11" s="12" t="n">
        <f aca="false">ABS($B11-Train!$B$3)</f>
        <v>0.100000000000001</v>
      </c>
      <c r="J11" s="12" t="n">
        <f aca="false">ABS($B11-Train!$B$4)</f>
        <v>6.4</v>
      </c>
      <c r="K11" s="12" t="n">
        <f aca="false">ABS($B11-Train!$B$5)</f>
        <v>7.4</v>
      </c>
      <c r="L11" s="12" t="n">
        <f aca="false">ABS($B11-Train!$B$6)</f>
        <v>2.2</v>
      </c>
      <c r="M11" s="12" t="n">
        <f aca="false">ABS($B11-Train!$B$7)</f>
        <v>3.7</v>
      </c>
      <c r="N11" s="12" t="n">
        <f aca="false">ABS($B11-Train!$B$8)</f>
        <v>1.3</v>
      </c>
      <c r="O11" s="12" t="n">
        <f aca="false">ABS($B11-Train!$B$9)</f>
        <v>1.3</v>
      </c>
      <c r="P11" s="12" t="n">
        <f aca="false">ABS($B11-Train!$B$10)</f>
        <v>7.3</v>
      </c>
      <c r="Q11" s="12" t="n">
        <f aca="false">ABS($B11-Train!$B$11)</f>
        <v>4.1</v>
      </c>
      <c r="R11" s="12" t="n">
        <f aca="false">ABS($B11-Train!$B$12)</f>
        <v>2.4</v>
      </c>
      <c r="S11" s="12" t="n">
        <f aca="false">ABS($B11-Train!$B$13)</f>
        <v>6.7</v>
      </c>
      <c r="T11" s="12" t="n">
        <f aca="false">ABS($B11-Train!$B$14)</f>
        <v>5.9</v>
      </c>
      <c r="U11" s="12" t="n">
        <f aca="false">ABS($B11-Train!$B$15)</f>
        <v>2.6</v>
      </c>
      <c r="V11" s="12" t="n">
        <f aca="false">ABS($B11-Train!$B$16)</f>
        <v>7.5</v>
      </c>
      <c r="W11" s="12" t="n">
        <f aca="false">ABS($B11-Train!$B$17)</f>
        <v>7.2</v>
      </c>
      <c r="X11" s="12" t="n">
        <f aca="false">ABS($B11-Train!$B$18)</f>
        <v>4.3</v>
      </c>
      <c r="Y11" s="12" t="n">
        <f aca="false">ABS($B11-Train!$B$19)</f>
        <v>3.8</v>
      </c>
      <c r="Z11" s="12" t="n">
        <f aca="false">ABS($B11-Train!$B$20)</f>
        <v>1.5</v>
      </c>
      <c r="AA11" s="12" t="n">
        <f aca="false">ABS($B11-Train!$B$21)</f>
        <v>6.9</v>
      </c>
    </row>
    <row r="12" customFormat="false" ht="15" hidden="false" customHeight="false" outlineLevel="0" collapsed="false">
      <c r="A12" s="10" t="n">
        <v>11</v>
      </c>
      <c r="B12" s="11" t="n">
        <v>5.3</v>
      </c>
      <c r="C12" s="11" t="n">
        <v>69</v>
      </c>
      <c r="D12" s="12" t="n">
        <f aca="false">INDEX(Train!$C$2:$C$21,MATCH(MIN(H12:AA12),H12:AA12,0))</f>
        <v>71</v>
      </c>
      <c r="E12" s="12" t="n">
        <f aca="false">ABS(C12-D12)</f>
        <v>2</v>
      </c>
      <c r="F12" s="12" t="n">
        <f aca="false">INTERCEPT(Train!$C$2:$C$21,Train!$B$2:$B$21)+SLOPE(Train!$C$2:$C$21,Train!$B$2:$B$21)*B12</f>
        <v>61.913244125456</v>
      </c>
      <c r="G12" s="12" t="n">
        <f aca="false">ABS(C12-F12)</f>
        <v>7.08675587454397</v>
      </c>
      <c r="H12" s="12" t="n">
        <f aca="false">ABS($B12-Train!$B$2)</f>
        <v>1.3</v>
      </c>
      <c r="I12" s="12" t="n">
        <f aca="false">ABS($B12-Train!$B$3)</f>
        <v>1.1</v>
      </c>
      <c r="J12" s="12" t="n">
        <f aca="false">ABS($B12-Train!$B$4)</f>
        <v>5.2</v>
      </c>
      <c r="K12" s="12" t="n">
        <f aca="false">ABS($B12-Train!$B$5)</f>
        <v>6.2</v>
      </c>
      <c r="L12" s="12" t="n">
        <f aca="false">ABS($B12-Train!$B$6)</f>
        <v>1</v>
      </c>
      <c r="M12" s="12" t="n">
        <f aca="false">ABS($B12-Train!$B$7)</f>
        <v>2.5</v>
      </c>
      <c r="N12" s="12" t="n">
        <f aca="false">ABS($B12-Train!$B$8)</f>
        <v>0.100000000000001</v>
      </c>
      <c r="O12" s="12" t="n">
        <f aca="false">ABS($B12-Train!$B$9)</f>
        <v>2.5</v>
      </c>
      <c r="P12" s="12" t="n">
        <f aca="false">ABS($B12-Train!$B$10)</f>
        <v>6.1</v>
      </c>
      <c r="Q12" s="12" t="n">
        <f aca="false">ABS($B12-Train!$B$11)</f>
        <v>2.9</v>
      </c>
      <c r="R12" s="12" t="n">
        <f aca="false">ABS($B12-Train!$B$12)</f>
        <v>3.6</v>
      </c>
      <c r="S12" s="12" t="n">
        <f aca="false">ABS($B12-Train!$B$13)</f>
        <v>5.5</v>
      </c>
      <c r="T12" s="12" t="n">
        <f aca="false">ABS($B12-Train!$B$14)</f>
        <v>4.7</v>
      </c>
      <c r="U12" s="12" t="n">
        <f aca="false">ABS($B12-Train!$B$15)</f>
        <v>3.8</v>
      </c>
      <c r="V12" s="12" t="n">
        <f aca="false">ABS($B12-Train!$B$16)</f>
        <v>6.3</v>
      </c>
      <c r="W12" s="12" t="n">
        <f aca="false">ABS($B12-Train!$B$17)</f>
        <v>6</v>
      </c>
      <c r="X12" s="12" t="n">
        <f aca="false">ABS($B12-Train!$B$18)</f>
        <v>3.1</v>
      </c>
      <c r="Y12" s="12" t="n">
        <f aca="false">ABS($B12-Train!$B$19)</f>
        <v>2.6</v>
      </c>
      <c r="Z12" s="12" t="n">
        <f aca="false">ABS($B12-Train!$B$20)</f>
        <v>0.3</v>
      </c>
      <c r="AA12" s="12" t="n">
        <f aca="false">ABS($B12-Train!$B$21)</f>
        <v>5.7</v>
      </c>
    </row>
    <row r="13" customFormat="false" ht="15" hidden="false" customHeight="false" outlineLevel="0" collapsed="false">
      <c r="A13" s="10" t="n">
        <v>12</v>
      </c>
      <c r="B13" s="11" t="n">
        <v>9.1</v>
      </c>
      <c r="C13" s="11" t="n">
        <v>81</v>
      </c>
      <c r="D13" s="12" t="n">
        <f aca="false">INDEX(Train!$C$2:$C$21,MATCH(MIN(H13:AA13),H13:AA13,0))</f>
        <v>61</v>
      </c>
      <c r="E13" s="12" t="n">
        <f aca="false">ABS(C13-D13)</f>
        <v>20</v>
      </c>
      <c r="F13" s="12" t="n">
        <f aca="false">INTERCEPT(Train!$C$2:$C$21,Train!$B$2:$B$21)+SLOPE(Train!$C$2:$C$21,Train!$B$2:$B$21)*B13</f>
        <v>78.8629924144613</v>
      </c>
      <c r="G13" s="12" t="n">
        <f aca="false">ABS(C13-F13)</f>
        <v>2.1370075855387</v>
      </c>
      <c r="H13" s="12" t="n">
        <f aca="false">ABS($B13-Train!$B$2)</f>
        <v>5.1</v>
      </c>
      <c r="I13" s="12" t="n">
        <f aca="false">ABS($B13-Train!$B$3)</f>
        <v>4.9</v>
      </c>
      <c r="J13" s="12" t="n">
        <f aca="false">ABS($B13-Train!$B$4)</f>
        <v>1.4</v>
      </c>
      <c r="K13" s="12" t="n">
        <f aca="false">ABS($B13-Train!$B$5)</f>
        <v>2.4</v>
      </c>
      <c r="L13" s="12" t="n">
        <f aca="false">ABS($B13-Train!$B$6)</f>
        <v>2.8</v>
      </c>
      <c r="M13" s="12" t="n">
        <f aca="false">ABS($B13-Train!$B$7)</f>
        <v>1.3</v>
      </c>
      <c r="N13" s="12" t="n">
        <f aca="false">ABS($B13-Train!$B$8)</f>
        <v>3.7</v>
      </c>
      <c r="O13" s="12" t="n">
        <f aca="false">ABS($B13-Train!$B$9)</f>
        <v>6.3</v>
      </c>
      <c r="P13" s="12" t="n">
        <f aca="false">ABS($B13-Train!$B$10)</f>
        <v>2.3</v>
      </c>
      <c r="Q13" s="12" t="n">
        <f aca="false">ABS($B13-Train!$B$11)</f>
        <v>0.9</v>
      </c>
      <c r="R13" s="12" t="n">
        <f aca="false">ABS($B13-Train!$B$12)</f>
        <v>7.4</v>
      </c>
      <c r="S13" s="12" t="n">
        <f aca="false">ABS($B13-Train!$B$13)</f>
        <v>1.7</v>
      </c>
      <c r="T13" s="12" t="n">
        <f aca="false">ABS($B13-Train!$B$14)</f>
        <v>0.9</v>
      </c>
      <c r="U13" s="12" t="n">
        <f aca="false">ABS($B13-Train!$B$15)</f>
        <v>7.6</v>
      </c>
      <c r="V13" s="12" t="n">
        <f aca="false">ABS($B13-Train!$B$16)</f>
        <v>2.5</v>
      </c>
      <c r="W13" s="12" t="n">
        <f aca="false">ABS($B13-Train!$B$17)</f>
        <v>2.2</v>
      </c>
      <c r="X13" s="12" t="n">
        <f aca="false">ABS($B13-Train!$B$18)</f>
        <v>0.699999999999999</v>
      </c>
      <c r="Y13" s="12" t="n">
        <f aca="false">ABS($B13-Train!$B$19)</f>
        <v>1.2</v>
      </c>
      <c r="Z13" s="12" t="n">
        <f aca="false">ABS($B13-Train!$B$20)</f>
        <v>3.5</v>
      </c>
      <c r="AA13" s="12" t="n">
        <f aca="false">ABS($B13-Train!$B$21)</f>
        <v>1.9</v>
      </c>
    </row>
    <row r="14" customFormat="false" ht="15" hidden="false" customHeight="false" outlineLevel="0" collapsed="false">
      <c r="A14" s="10" t="n">
        <v>13</v>
      </c>
      <c r="B14" s="11" t="n">
        <v>2.3</v>
      </c>
      <c r="C14" s="11" t="n">
        <v>45</v>
      </c>
      <c r="D14" s="12" t="n">
        <f aca="false">INDEX(Train!$C$2:$C$21,MATCH(MIN(H14:AA14),H14:AA14,0))</f>
        <v>44</v>
      </c>
      <c r="E14" s="12" t="n">
        <f aca="false">ABS(C14-D14)</f>
        <v>1</v>
      </c>
      <c r="F14" s="12" t="n">
        <f aca="false">INTERCEPT(Train!$C$2:$C$21,Train!$B$2:$B$21)+SLOPE(Train!$C$2:$C$21,Train!$B$2:$B$21)*B14</f>
        <v>48.531863897294</v>
      </c>
      <c r="G14" s="12" t="n">
        <f aca="false">ABS(C14-F14)</f>
        <v>3.53186389729397</v>
      </c>
      <c r="H14" s="12" t="n">
        <f aca="false">ABS($B14-Train!$B$2)</f>
        <v>1.7</v>
      </c>
      <c r="I14" s="12" t="n">
        <f aca="false">ABS($B14-Train!$B$3)</f>
        <v>1.9</v>
      </c>
      <c r="J14" s="12" t="n">
        <f aca="false">ABS($B14-Train!$B$4)</f>
        <v>8.2</v>
      </c>
      <c r="K14" s="12" t="n">
        <f aca="false">ABS($B14-Train!$B$5)</f>
        <v>9.2</v>
      </c>
      <c r="L14" s="12" t="n">
        <f aca="false">ABS($B14-Train!$B$6)</f>
        <v>4</v>
      </c>
      <c r="M14" s="12" t="n">
        <f aca="false">ABS($B14-Train!$B$7)</f>
        <v>5.5</v>
      </c>
      <c r="N14" s="12" t="n">
        <f aca="false">ABS($B14-Train!$B$8)</f>
        <v>3.1</v>
      </c>
      <c r="O14" s="12" t="n">
        <f aca="false">ABS($B14-Train!$B$9)</f>
        <v>0.5</v>
      </c>
      <c r="P14" s="12" t="n">
        <f aca="false">ABS($B14-Train!$B$10)</f>
        <v>9.1</v>
      </c>
      <c r="Q14" s="12" t="n">
        <f aca="false">ABS($B14-Train!$B$11)</f>
        <v>5.9</v>
      </c>
      <c r="R14" s="12" t="n">
        <f aca="false">ABS($B14-Train!$B$12)</f>
        <v>0.6</v>
      </c>
      <c r="S14" s="12" t="n">
        <f aca="false">ABS($B14-Train!$B$13)</f>
        <v>8.5</v>
      </c>
      <c r="T14" s="12" t="n">
        <f aca="false">ABS($B14-Train!$B$14)</f>
        <v>7.7</v>
      </c>
      <c r="U14" s="12" t="n">
        <f aca="false">ABS($B14-Train!$B$15)</f>
        <v>0.8</v>
      </c>
      <c r="V14" s="12" t="n">
        <f aca="false">ABS($B14-Train!$B$16)</f>
        <v>9.3</v>
      </c>
      <c r="W14" s="12" t="n">
        <f aca="false">ABS($B14-Train!$B$17)</f>
        <v>9</v>
      </c>
      <c r="X14" s="12" t="n">
        <f aca="false">ABS($B14-Train!$B$18)</f>
        <v>6.1</v>
      </c>
      <c r="Y14" s="12" t="n">
        <f aca="false">ABS($B14-Train!$B$19)</f>
        <v>5.6</v>
      </c>
      <c r="Z14" s="12" t="n">
        <f aca="false">ABS($B14-Train!$B$20)</f>
        <v>3.3</v>
      </c>
      <c r="AA14" s="12" t="n">
        <f aca="false">ABS($B14-Train!$B$21)</f>
        <v>8.7</v>
      </c>
    </row>
    <row r="15" customFormat="false" ht="15" hidden="false" customHeight="false" outlineLevel="0" collapsed="false">
      <c r="A15" s="10" t="n">
        <v>14</v>
      </c>
      <c r="B15" s="11" t="n">
        <v>10.5</v>
      </c>
      <c r="C15" s="11" t="n">
        <v>85</v>
      </c>
      <c r="D15" s="12" t="n">
        <f aca="false">INDEX(Train!$C$2:$C$21,MATCH(MIN(H15:AA15),H15:AA15,0))</f>
        <v>87</v>
      </c>
      <c r="E15" s="12" t="n">
        <f aca="false">ABS(C15-D15)</f>
        <v>2</v>
      </c>
      <c r="F15" s="12" t="n">
        <f aca="false">INTERCEPT(Train!$C$2:$C$21,Train!$B$2:$B$21)+SLOPE(Train!$C$2:$C$21,Train!$B$2:$B$21)*B15</f>
        <v>85.1076365209369</v>
      </c>
      <c r="G15" s="12" t="n">
        <f aca="false">ABS(C15-F15)</f>
        <v>0.107636520936921</v>
      </c>
      <c r="H15" s="12" t="n">
        <f aca="false">ABS($B15-Train!$B$2)</f>
        <v>6.5</v>
      </c>
      <c r="I15" s="12" t="n">
        <f aca="false">ABS($B15-Train!$B$3)</f>
        <v>6.3</v>
      </c>
      <c r="J15" s="12" t="n">
        <f aca="false">ABS($B15-Train!$B$4)</f>
        <v>0</v>
      </c>
      <c r="K15" s="12" t="n">
        <f aca="false">ABS($B15-Train!$B$5)</f>
        <v>1</v>
      </c>
      <c r="L15" s="12" t="n">
        <f aca="false">ABS($B15-Train!$B$6)</f>
        <v>4.2</v>
      </c>
      <c r="M15" s="12" t="n">
        <f aca="false">ABS($B15-Train!$B$7)</f>
        <v>2.7</v>
      </c>
      <c r="N15" s="12" t="n">
        <f aca="false">ABS($B15-Train!$B$8)</f>
        <v>5.1</v>
      </c>
      <c r="O15" s="12" t="n">
        <f aca="false">ABS($B15-Train!$B$9)</f>
        <v>7.7</v>
      </c>
      <c r="P15" s="12" t="n">
        <f aca="false">ABS($B15-Train!$B$10)</f>
        <v>0.9</v>
      </c>
      <c r="Q15" s="12" t="n">
        <f aca="false">ABS($B15-Train!$B$11)</f>
        <v>2.3</v>
      </c>
      <c r="R15" s="12" t="n">
        <f aca="false">ABS($B15-Train!$B$12)</f>
        <v>8.8</v>
      </c>
      <c r="S15" s="12" t="n">
        <f aca="false">ABS($B15-Train!$B$13)</f>
        <v>0.300000000000001</v>
      </c>
      <c r="T15" s="12" t="n">
        <f aca="false">ABS($B15-Train!$B$14)</f>
        <v>0.5</v>
      </c>
      <c r="U15" s="12" t="n">
        <f aca="false">ABS($B15-Train!$B$15)</f>
        <v>9</v>
      </c>
      <c r="V15" s="12" t="n">
        <f aca="false">ABS($B15-Train!$B$16)</f>
        <v>1.1</v>
      </c>
      <c r="W15" s="12" t="n">
        <f aca="false">ABS($B15-Train!$B$17)</f>
        <v>0.800000000000001</v>
      </c>
      <c r="X15" s="12" t="n">
        <f aca="false">ABS($B15-Train!$B$18)</f>
        <v>2.1</v>
      </c>
      <c r="Y15" s="12" t="n">
        <f aca="false">ABS($B15-Train!$B$19)</f>
        <v>2.6</v>
      </c>
      <c r="Z15" s="12" t="n">
        <f aca="false">ABS($B15-Train!$B$20)</f>
        <v>4.9</v>
      </c>
      <c r="AA15" s="12" t="n">
        <f aca="false">ABS($B15-Train!$B$21)</f>
        <v>0.5</v>
      </c>
    </row>
    <row r="16" customFormat="false" ht="15" hidden="false" customHeight="false" outlineLevel="0" collapsed="false">
      <c r="A16" s="10" t="n">
        <v>15</v>
      </c>
      <c r="B16" s="11" t="n">
        <v>10.5</v>
      </c>
      <c r="C16" s="11" t="n">
        <v>93</v>
      </c>
      <c r="D16" s="12" t="n">
        <f aca="false">INDEX(Train!$C$2:$C$21,MATCH(MIN(H16:AA16),H16:AA16,0))</f>
        <v>87</v>
      </c>
      <c r="E16" s="12" t="n">
        <f aca="false">ABS(C16-D16)</f>
        <v>6</v>
      </c>
      <c r="F16" s="12" t="n">
        <f aca="false">INTERCEPT(Train!$C$2:$C$21,Train!$B$2:$B$21)+SLOPE(Train!$C$2:$C$21,Train!$B$2:$B$21)*B16</f>
        <v>85.1076365209369</v>
      </c>
      <c r="G16" s="12" t="n">
        <f aca="false">ABS(C16-F16)</f>
        <v>7.89236347906308</v>
      </c>
      <c r="H16" s="12" t="n">
        <f aca="false">ABS($B16-Train!$B$2)</f>
        <v>6.5</v>
      </c>
      <c r="I16" s="12" t="n">
        <f aca="false">ABS($B16-Train!$B$3)</f>
        <v>6.3</v>
      </c>
      <c r="J16" s="12" t="n">
        <f aca="false">ABS($B16-Train!$B$4)</f>
        <v>0</v>
      </c>
      <c r="K16" s="12" t="n">
        <f aca="false">ABS($B16-Train!$B$5)</f>
        <v>1</v>
      </c>
      <c r="L16" s="12" t="n">
        <f aca="false">ABS($B16-Train!$B$6)</f>
        <v>4.2</v>
      </c>
      <c r="M16" s="12" t="n">
        <f aca="false">ABS($B16-Train!$B$7)</f>
        <v>2.7</v>
      </c>
      <c r="N16" s="12" t="n">
        <f aca="false">ABS($B16-Train!$B$8)</f>
        <v>5.1</v>
      </c>
      <c r="O16" s="12" t="n">
        <f aca="false">ABS($B16-Train!$B$9)</f>
        <v>7.7</v>
      </c>
      <c r="P16" s="12" t="n">
        <f aca="false">ABS($B16-Train!$B$10)</f>
        <v>0.9</v>
      </c>
      <c r="Q16" s="12" t="n">
        <f aca="false">ABS($B16-Train!$B$11)</f>
        <v>2.3</v>
      </c>
      <c r="R16" s="12" t="n">
        <f aca="false">ABS($B16-Train!$B$12)</f>
        <v>8.8</v>
      </c>
      <c r="S16" s="12" t="n">
        <f aca="false">ABS($B16-Train!$B$13)</f>
        <v>0.300000000000001</v>
      </c>
      <c r="T16" s="12" t="n">
        <f aca="false">ABS($B16-Train!$B$14)</f>
        <v>0.5</v>
      </c>
      <c r="U16" s="12" t="n">
        <f aca="false">ABS($B16-Train!$B$15)</f>
        <v>9</v>
      </c>
      <c r="V16" s="12" t="n">
        <f aca="false">ABS($B16-Train!$B$16)</f>
        <v>1.1</v>
      </c>
      <c r="W16" s="12" t="n">
        <f aca="false">ABS($B16-Train!$B$17)</f>
        <v>0.800000000000001</v>
      </c>
      <c r="X16" s="12" t="n">
        <f aca="false">ABS($B16-Train!$B$18)</f>
        <v>2.1</v>
      </c>
      <c r="Y16" s="12" t="n">
        <f aca="false">ABS($B16-Train!$B$19)</f>
        <v>2.6</v>
      </c>
      <c r="Z16" s="12" t="n">
        <f aca="false">ABS($B16-Train!$B$20)</f>
        <v>4.9</v>
      </c>
      <c r="AA16" s="12" t="n">
        <f aca="false">ABS($B16-Train!$B$21)</f>
        <v>0.5</v>
      </c>
    </row>
    <row r="17" customFormat="false" ht="15" hidden="false" customHeight="false" outlineLevel="0" collapsed="false">
      <c r="A17" s="10" t="n">
        <v>16</v>
      </c>
      <c r="B17" s="11" t="n">
        <v>9.3</v>
      </c>
      <c r="C17" s="11" t="n">
        <v>86</v>
      </c>
      <c r="D17" s="12" t="n">
        <f aca="false">INDEX(Train!$C$2:$C$21,MATCH(MIN(H17:AA17),H17:AA17,0))</f>
        <v>93</v>
      </c>
      <c r="E17" s="12" t="n">
        <f aca="false">ABS(C17-D17)</f>
        <v>7</v>
      </c>
      <c r="F17" s="12" t="n">
        <f aca="false">INTERCEPT(Train!$C$2:$C$21,Train!$B$2:$B$21)+SLOPE(Train!$C$2:$C$21,Train!$B$2:$B$21)*B17</f>
        <v>79.7550844296721</v>
      </c>
      <c r="G17" s="12" t="n">
        <f aca="false">ABS(C17-F17)</f>
        <v>6.24491557032789</v>
      </c>
      <c r="H17" s="12" t="n">
        <f aca="false">ABS($B17-Train!$B$2)</f>
        <v>5.3</v>
      </c>
      <c r="I17" s="12" t="n">
        <f aca="false">ABS($B17-Train!$B$3)</f>
        <v>5.1</v>
      </c>
      <c r="J17" s="12" t="n">
        <f aca="false">ABS($B17-Train!$B$4)</f>
        <v>1.2</v>
      </c>
      <c r="K17" s="12" t="n">
        <f aca="false">ABS($B17-Train!$B$5)</f>
        <v>2.2</v>
      </c>
      <c r="L17" s="12" t="n">
        <f aca="false">ABS($B17-Train!$B$6)</f>
        <v>3</v>
      </c>
      <c r="M17" s="12" t="n">
        <f aca="false">ABS($B17-Train!$B$7)</f>
        <v>1.5</v>
      </c>
      <c r="N17" s="12" t="n">
        <f aca="false">ABS($B17-Train!$B$8)</f>
        <v>3.9</v>
      </c>
      <c r="O17" s="12" t="n">
        <f aca="false">ABS($B17-Train!$B$9)</f>
        <v>6.5</v>
      </c>
      <c r="P17" s="12" t="n">
        <f aca="false">ABS($B17-Train!$B$10)</f>
        <v>2.1</v>
      </c>
      <c r="Q17" s="12" t="n">
        <f aca="false">ABS($B17-Train!$B$11)</f>
        <v>1.1</v>
      </c>
      <c r="R17" s="12" t="n">
        <f aca="false">ABS($B17-Train!$B$12)</f>
        <v>7.6</v>
      </c>
      <c r="S17" s="12" t="n">
        <f aca="false">ABS($B17-Train!$B$13)</f>
        <v>1.5</v>
      </c>
      <c r="T17" s="12" t="n">
        <f aca="false">ABS($B17-Train!$B$14)</f>
        <v>0.699999999999999</v>
      </c>
      <c r="U17" s="12" t="n">
        <f aca="false">ABS($B17-Train!$B$15)</f>
        <v>7.8</v>
      </c>
      <c r="V17" s="12" t="n">
        <f aca="false">ABS($B17-Train!$B$16)</f>
        <v>2.3</v>
      </c>
      <c r="W17" s="12" t="n">
        <f aca="false">ABS($B17-Train!$B$17)</f>
        <v>2</v>
      </c>
      <c r="X17" s="12" t="n">
        <f aca="false">ABS($B17-Train!$B$18)</f>
        <v>0.9</v>
      </c>
      <c r="Y17" s="12" t="n">
        <f aca="false">ABS($B17-Train!$B$19)</f>
        <v>1.4</v>
      </c>
      <c r="Z17" s="12" t="n">
        <f aca="false">ABS($B17-Train!$B$20)</f>
        <v>3.7</v>
      </c>
      <c r="AA17" s="12" t="n">
        <f aca="false">ABS($B17-Train!$B$21)</f>
        <v>1.7</v>
      </c>
    </row>
    <row r="18" customFormat="false" ht="15" hidden="false" customHeight="false" outlineLevel="0" collapsed="false">
      <c r="A18" s="10" t="n">
        <v>17</v>
      </c>
      <c r="B18" s="11" t="n">
        <v>1.8</v>
      </c>
      <c r="C18" s="11" t="n">
        <v>44</v>
      </c>
      <c r="D18" s="12" t="n">
        <f aca="false">INDEX(Train!$C$2:$C$21,MATCH(MIN(H18:AA18),H18:AA18,0))</f>
        <v>53</v>
      </c>
      <c r="E18" s="12" t="n">
        <f aca="false">ABS(C18-D18)</f>
        <v>9</v>
      </c>
      <c r="F18" s="12" t="n">
        <f aca="false">INTERCEPT(Train!$C$2:$C$21,Train!$B$2:$B$21)+SLOPE(Train!$C$2:$C$21,Train!$B$2:$B$21)*B18</f>
        <v>46.301633859267</v>
      </c>
      <c r="G18" s="12" t="n">
        <f aca="false">ABS(C18-F18)</f>
        <v>2.30163385926696</v>
      </c>
      <c r="H18" s="12" t="n">
        <f aca="false">ABS($B18-Train!$B$2)</f>
        <v>2.2</v>
      </c>
      <c r="I18" s="12" t="n">
        <f aca="false">ABS($B18-Train!$B$3)</f>
        <v>2.4</v>
      </c>
      <c r="J18" s="12" t="n">
        <f aca="false">ABS($B18-Train!$B$4)</f>
        <v>8.7</v>
      </c>
      <c r="K18" s="12" t="n">
        <f aca="false">ABS($B18-Train!$B$5)</f>
        <v>9.7</v>
      </c>
      <c r="L18" s="12" t="n">
        <f aca="false">ABS($B18-Train!$B$6)</f>
        <v>4.5</v>
      </c>
      <c r="M18" s="12" t="n">
        <f aca="false">ABS($B18-Train!$B$7)</f>
        <v>6</v>
      </c>
      <c r="N18" s="12" t="n">
        <f aca="false">ABS($B18-Train!$B$8)</f>
        <v>3.6</v>
      </c>
      <c r="O18" s="12" t="n">
        <f aca="false">ABS($B18-Train!$B$9)</f>
        <v>1</v>
      </c>
      <c r="P18" s="12" t="n">
        <f aca="false">ABS($B18-Train!$B$10)</f>
        <v>9.6</v>
      </c>
      <c r="Q18" s="12" t="n">
        <f aca="false">ABS($B18-Train!$B$11)</f>
        <v>6.4</v>
      </c>
      <c r="R18" s="12" t="n">
        <f aca="false">ABS($B18-Train!$B$12)</f>
        <v>0.1</v>
      </c>
      <c r="S18" s="12" t="n">
        <f aca="false">ABS($B18-Train!$B$13)</f>
        <v>9</v>
      </c>
      <c r="T18" s="12" t="n">
        <f aca="false">ABS($B18-Train!$B$14)</f>
        <v>8.2</v>
      </c>
      <c r="U18" s="12" t="n">
        <f aca="false">ABS($B18-Train!$B$15)</f>
        <v>0.3</v>
      </c>
      <c r="V18" s="12" t="n">
        <f aca="false">ABS($B18-Train!$B$16)</f>
        <v>9.8</v>
      </c>
      <c r="W18" s="12" t="n">
        <f aca="false">ABS($B18-Train!$B$17)</f>
        <v>9.5</v>
      </c>
      <c r="X18" s="12" t="n">
        <f aca="false">ABS($B18-Train!$B$18)</f>
        <v>6.6</v>
      </c>
      <c r="Y18" s="12" t="n">
        <f aca="false">ABS($B18-Train!$B$19)</f>
        <v>6.1</v>
      </c>
      <c r="Z18" s="12" t="n">
        <f aca="false">ABS($B18-Train!$B$20)</f>
        <v>3.8</v>
      </c>
      <c r="AA18" s="12" t="n">
        <f aca="false">ABS($B18-Train!$B$21)</f>
        <v>9.2</v>
      </c>
    </row>
    <row r="19" customFormat="false" ht="15" hidden="false" customHeight="false" outlineLevel="0" collapsed="false">
      <c r="A19" s="10" t="n">
        <v>18</v>
      </c>
      <c r="B19" s="11" t="n">
        <v>4.1</v>
      </c>
      <c r="C19" s="11" t="n">
        <v>64</v>
      </c>
      <c r="D19" s="12" t="n">
        <f aca="false">INDEX(Train!$C$2:$C$21,MATCH(MIN(H19:AA19),H19:AA19,0))</f>
        <v>59</v>
      </c>
      <c r="E19" s="12" t="n">
        <f aca="false">ABS(C19-D19)</f>
        <v>5</v>
      </c>
      <c r="F19" s="12" t="n">
        <f aca="false">INTERCEPT(Train!$C$2:$C$21,Train!$B$2:$B$21)+SLOPE(Train!$C$2:$C$21,Train!$B$2:$B$21)*B19</f>
        <v>56.5606920341912</v>
      </c>
      <c r="G19" s="12" t="n">
        <f aca="false">ABS(C19-F19)</f>
        <v>7.43930796580879</v>
      </c>
      <c r="H19" s="12" t="n">
        <f aca="false">ABS($B19-Train!$B$2)</f>
        <v>0.0999999999999996</v>
      </c>
      <c r="I19" s="12" t="n">
        <f aca="false">ABS($B19-Train!$B$3)</f>
        <v>0.100000000000001</v>
      </c>
      <c r="J19" s="12" t="n">
        <f aca="false">ABS($B19-Train!$B$4)</f>
        <v>6.4</v>
      </c>
      <c r="K19" s="12" t="n">
        <f aca="false">ABS($B19-Train!$B$5)</f>
        <v>7.4</v>
      </c>
      <c r="L19" s="12" t="n">
        <f aca="false">ABS($B19-Train!$B$6)</f>
        <v>2.2</v>
      </c>
      <c r="M19" s="12" t="n">
        <f aca="false">ABS($B19-Train!$B$7)</f>
        <v>3.7</v>
      </c>
      <c r="N19" s="12" t="n">
        <f aca="false">ABS($B19-Train!$B$8)</f>
        <v>1.3</v>
      </c>
      <c r="O19" s="12" t="n">
        <f aca="false">ABS($B19-Train!$B$9)</f>
        <v>1.3</v>
      </c>
      <c r="P19" s="12" t="n">
        <f aca="false">ABS($B19-Train!$B$10)</f>
        <v>7.3</v>
      </c>
      <c r="Q19" s="12" t="n">
        <f aca="false">ABS($B19-Train!$B$11)</f>
        <v>4.1</v>
      </c>
      <c r="R19" s="12" t="n">
        <f aca="false">ABS($B19-Train!$B$12)</f>
        <v>2.4</v>
      </c>
      <c r="S19" s="12" t="n">
        <f aca="false">ABS($B19-Train!$B$13)</f>
        <v>6.7</v>
      </c>
      <c r="T19" s="12" t="n">
        <f aca="false">ABS($B19-Train!$B$14)</f>
        <v>5.9</v>
      </c>
      <c r="U19" s="12" t="n">
        <f aca="false">ABS($B19-Train!$B$15)</f>
        <v>2.6</v>
      </c>
      <c r="V19" s="12" t="n">
        <f aca="false">ABS($B19-Train!$B$16)</f>
        <v>7.5</v>
      </c>
      <c r="W19" s="12" t="n">
        <f aca="false">ABS($B19-Train!$B$17)</f>
        <v>7.2</v>
      </c>
      <c r="X19" s="12" t="n">
        <f aca="false">ABS($B19-Train!$B$18)</f>
        <v>4.3</v>
      </c>
      <c r="Y19" s="12" t="n">
        <f aca="false">ABS($B19-Train!$B$19)</f>
        <v>3.8</v>
      </c>
      <c r="Z19" s="12" t="n">
        <f aca="false">ABS($B19-Train!$B$20)</f>
        <v>1.5</v>
      </c>
      <c r="AA19" s="12" t="n">
        <f aca="false">ABS($B19-Train!$B$21)</f>
        <v>6.9</v>
      </c>
    </row>
    <row r="20" customFormat="false" ht="15" hidden="false" customHeight="false" outlineLevel="0" collapsed="false">
      <c r="A20" s="10" t="n">
        <v>19</v>
      </c>
      <c r="B20" s="11" t="n">
        <v>4.9</v>
      </c>
      <c r="C20" s="11" t="n">
        <v>68</v>
      </c>
      <c r="D20" s="12" t="n">
        <f aca="false">INDEX(Train!$C$2:$C$21,MATCH(MIN(H20:AA20),H20:AA20,0))</f>
        <v>71</v>
      </c>
      <c r="E20" s="12" t="n">
        <f aca="false">ABS(C20-D20)</f>
        <v>3</v>
      </c>
      <c r="F20" s="12" t="n">
        <f aca="false">INTERCEPT(Train!$C$2:$C$21,Train!$B$2:$B$21)+SLOPE(Train!$C$2:$C$21,Train!$B$2:$B$21)*B20</f>
        <v>60.1290600950344</v>
      </c>
      <c r="G20" s="12" t="n">
        <f aca="false">ABS(C20-F20)</f>
        <v>7.87093990496558</v>
      </c>
      <c r="H20" s="12" t="n">
        <f aca="false">ABS($B20-Train!$B$2)</f>
        <v>0.9</v>
      </c>
      <c r="I20" s="12" t="n">
        <f aca="false">ABS($B20-Train!$B$3)</f>
        <v>0.7</v>
      </c>
      <c r="J20" s="12" t="n">
        <f aca="false">ABS($B20-Train!$B$4)</f>
        <v>5.6</v>
      </c>
      <c r="K20" s="12" t="n">
        <f aca="false">ABS($B20-Train!$B$5)</f>
        <v>6.6</v>
      </c>
      <c r="L20" s="12" t="n">
        <f aca="false">ABS($B20-Train!$B$6)</f>
        <v>1.4</v>
      </c>
      <c r="M20" s="12" t="n">
        <f aca="false">ABS($B20-Train!$B$7)</f>
        <v>2.9</v>
      </c>
      <c r="N20" s="12" t="n">
        <f aca="false">ABS($B20-Train!$B$8)</f>
        <v>0.5</v>
      </c>
      <c r="O20" s="12" t="n">
        <f aca="false">ABS($B20-Train!$B$9)</f>
        <v>2.1</v>
      </c>
      <c r="P20" s="12" t="n">
        <f aca="false">ABS($B20-Train!$B$10)</f>
        <v>6.5</v>
      </c>
      <c r="Q20" s="12" t="n">
        <f aca="false">ABS($B20-Train!$B$11)</f>
        <v>3.3</v>
      </c>
      <c r="R20" s="12" t="n">
        <f aca="false">ABS($B20-Train!$B$12)</f>
        <v>3.2</v>
      </c>
      <c r="S20" s="12" t="n">
        <f aca="false">ABS($B20-Train!$B$13)</f>
        <v>5.9</v>
      </c>
      <c r="T20" s="12" t="n">
        <f aca="false">ABS($B20-Train!$B$14)</f>
        <v>5.1</v>
      </c>
      <c r="U20" s="12" t="n">
        <f aca="false">ABS($B20-Train!$B$15)</f>
        <v>3.4</v>
      </c>
      <c r="V20" s="12" t="n">
        <f aca="false">ABS($B20-Train!$B$16)</f>
        <v>6.7</v>
      </c>
      <c r="W20" s="12" t="n">
        <f aca="false">ABS($B20-Train!$B$17)</f>
        <v>6.4</v>
      </c>
      <c r="X20" s="12" t="n">
        <f aca="false">ABS($B20-Train!$B$18)</f>
        <v>3.5</v>
      </c>
      <c r="Y20" s="12" t="n">
        <f aca="false">ABS($B20-Train!$B$19)</f>
        <v>3</v>
      </c>
      <c r="Z20" s="12" t="n">
        <f aca="false">ABS($B20-Train!$B$20)</f>
        <v>0.699999999999999</v>
      </c>
      <c r="AA20" s="12" t="n">
        <f aca="false">ABS($B20-Train!$B$21)</f>
        <v>6.1</v>
      </c>
    </row>
    <row r="21" customFormat="false" ht="15" hidden="false" customHeight="false" outlineLevel="0" collapsed="false">
      <c r="A21" s="10" t="n">
        <v>20</v>
      </c>
      <c r="B21" s="11" t="n">
        <v>1.5</v>
      </c>
      <c r="C21" s="11" t="n">
        <v>39</v>
      </c>
      <c r="D21" s="12" t="n">
        <f aca="false">INDEX(Train!$C$2:$C$21,MATCH(MIN(H21:AA21),H21:AA21,0))</f>
        <v>47</v>
      </c>
      <c r="E21" s="12" t="n">
        <f aca="false">ABS(C21-D21)</f>
        <v>8</v>
      </c>
      <c r="F21" s="12" t="n">
        <f aca="false">INTERCEPT(Train!$C$2:$C$21,Train!$B$2:$B$21)+SLOPE(Train!$C$2:$C$21,Train!$B$2:$B$21)*B21</f>
        <v>44.9634958364508</v>
      </c>
      <c r="G21" s="12" t="n">
        <f aca="false">ABS(C21-F21)</f>
        <v>5.96349583645075</v>
      </c>
      <c r="H21" s="12" t="n">
        <f aca="false">ABS($B21-Train!$B$2)</f>
        <v>2.5</v>
      </c>
      <c r="I21" s="12" t="n">
        <f aca="false">ABS($B21-Train!$B$3)</f>
        <v>2.7</v>
      </c>
      <c r="J21" s="12" t="n">
        <f aca="false">ABS($B21-Train!$B$4)</f>
        <v>9</v>
      </c>
      <c r="K21" s="12" t="n">
        <f aca="false">ABS($B21-Train!$B$5)</f>
        <v>10</v>
      </c>
      <c r="L21" s="12" t="n">
        <f aca="false">ABS($B21-Train!$B$6)</f>
        <v>4.8</v>
      </c>
      <c r="M21" s="12" t="n">
        <f aca="false">ABS($B21-Train!$B$7)</f>
        <v>6.3</v>
      </c>
      <c r="N21" s="12" t="n">
        <f aca="false">ABS($B21-Train!$B$8)</f>
        <v>3.9</v>
      </c>
      <c r="O21" s="12" t="n">
        <f aca="false">ABS($B21-Train!$B$9)</f>
        <v>1.3</v>
      </c>
      <c r="P21" s="12" t="n">
        <f aca="false">ABS($B21-Train!$B$10)</f>
        <v>9.9</v>
      </c>
      <c r="Q21" s="12" t="n">
        <f aca="false">ABS($B21-Train!$B$11)</f>
        <v>6.7</v>
      </c>
      <c r="R21" s="12" t="n">
        <f aca="false">ABS($B21-Train!$B$12)</f>
        <v>0.2</v>
      </c>
      <c r="S21" s="12" t="n">
        <f aca="false">ABS($B21-Train!$B$13)</f>
        <v>9.3</v>
      </c>
      <c r="T21" s="12" t="n">
        <f aca="false">ABS($B21-Train!$B$14)</f>
        <v>8.5</v>
      </c>
      <c r="U21" s="12" t="n">
        <f aca="false">ABS($B21-Train!$B$15)</f>
        <v>0</v>
      </c>
      <c r="V21" s="12" t="n">
        <f aca="false">ABS($B21-Train!$B$16)</f>
        <v>10.1</v>
      </c>
      <c r="W21" s="12" t="n">
        <f aca="false">ABS($B21-Train!$B$17)</f>
        <v>9.8</v>
      </c>
      <c r="X21" s="12" t="n">
        <f aca="false">ABS($B21-Train!$B$18)</f>
        <v>6.9</v>
      </c>
      <c r="Y21" s="12" t="n">
        <f aca="false">ABS($B21-Train!$B$19)</f>
        <v>6.4</v>
      </c>
      <c r="Z21" s="12" t="n">
        <f aca="false">ABS($B21-Train!$B$20)</f>
        <v>4.1</v>
      </c>
      <c r="AA21" s="12" t="n">
        <f aca="false">ABS($B21-Train!$B$21)</f>
        <v>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3" t="s">
        <v>47</v>
      </c>
    </row>
    <row r="3" customFormat="false" ht="15" hidden="false" customHeight="false" outlineLevel="0" collapsed="false">
      <c r="A3" s="8" t="s">
        <v>48</v>
      </c>
      <c r="B3" s="8" t="s">
        <v>49</v>
      </c>
    </row>
    <row r="4" customFormat="false" ht="15" hidden="false" customHeight="false" outlineLevel="0" collapsed="false">
      <c r="A4" s="14" t="s">
        <v>50</v>
      </c>
      <c r="B4" s="15" t="n">
        <f aca="false">AVERAGE(Train!E2:E21)</f>
        <v>0</v>
      </c>
    </row>
    <row r="5" customFormat="false" ht="15" hidden="false" customHeight="false" outlineLevel="0" collapsed="false">
      <c r="A5" s="14" t="s">
        <v>51</v>
      </c>
      <c r="B5" s="15" t="n">
        <f aca="false">AVERAGE(Test!E2:E21)</f>
        <v>9.4</v>
      </c>
    </row>
    <row r="6" customFormat="false" ht="15" hidden="false" customHeight="false" outlineLevel="0" collapsed="false">
      <c r="A6" s="14" t="s">
        <v>52</v>
      </c>
      <c r="B6" s="15" t="n">
        <f aca="false">AVERAGE(Train!G2:G21)</f>
        <v>6.30400089163737</v>
      </c>
    </row>
    <row r="7" customFormat="false" ht="15" hidden="false" customHeight="false" outlineLevel="0" collapsed="false">
      <c r="A7" s="14" t="s">
        <v>53</v>
      </c>
      <c r="B7" s="15" t="n">
        <f aca="false">AVERAGE(Test!G2:G21)</f>
        <v>6.0827969163472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55.5" hidden="false" customHeight="true" outlineLevel="0" collapsed="false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H1" s="9" t="s">
        <v>60</v>
      </c>
    </row>
    <row r="2" customFormat="false" ht="15" hidden="false" customHeight="false" outlineLevel="0" collapsed="false">
      <c r="A2" s="16" t="n">
        <v>1</v>
      </c>
      <c r="B2" s="17"/>
      <c r="C2" s="17"/>
      <c r="D2" s="17"/>
      <c r="E2" s="18" t="str">
        <f aca="false">IF(OR(C2="",D2=""),"",IF(C2=D2,"Yes","No"))</f>
        <v/>
      </c>
      <c r="F2" s="17"/>
    </row>
    <row r="3" customFormat="false" ht="15" hidden="false" customHeight="false" outlineLevel="0" collapsed="false">
      <c r="A3" s="16" t="n">
        <v>2</v>
      </c>
      <c r="B3" s="17"/>
      <c r="C3" s="17"/>
      <c r="D3" s="17"/>
      <c r="E3" s="18" t="str">
        <f aca="false">IF(OR(C3="",D3=""),"",IF(C3=D3,"Yes","No"))</f>
        <v/>
      </c>
      <c r="F3" s="17"/>
      <c r="H3" s="19" t="s">
        <v>61</v>
      </c>
      <c r="I3" s="20" t="str">
        <f aca="false">IFERROR(COUNTIFS(B2:B31,"Seen",E2:E31,"Yes")/COUNTIF(B2:B31,"Seen"),"")</f>
        <v/>
      </c>
    </row>
    <row r="4" customFormat="false" ht="15" hidden="false" customHeight="false" outlineLevel="0" collapsed="false">
      <c r="A4" s="16" t="n">
        <v>3</v>
      </c>
      <c r="B4" s="17"/>
      <c r="C4" s="17"/>
      <c r="D4" s="17"/>
      <c r="E4" s="18" t="str">
        <f aca="false">IF(OR(C4="",D4=""),"",IF(C4=D4,"Yes","No"))</f>
        <v/>
      </c>
      <c r="F4" s="17"/>
      <c r="H4" s="19" t="s">
        <v>62</v>
      </c>
      <c r="I4" s="20" t="str">
        <f aca="false">IFERROR(COUNTIFS(B2:B31,"Unseen",E2:E31,"Yes")/COUNTIF(B2:B31,"Unseen"),"")</f>
        <v/>
      </c>
    </row>
    <row r="5" customFormat="false" ht="15" hidden="false" customHeight="false" outlineLevel="0" collapsed="false">
      <c r="A5" s="16" t="n">
        <v>4</v>
      </c>
      <c r="B5" s="17"/>
      <c r="C5" s="17"/>
      <c r="D5" s="17"/>
      <c r="E5" s="18" t="str">
        <f aca="false">IF(OR(C5="",D5=""),"",IF(C5=D5,"Yes","No"))</f>
        <v/>
      </c>
      <c r="F5" s="17"/>
      <c r="H5" s="19" t="s">
        <v>63</v>
      </c>
      <c r="I5" s="20" t="str">
        <f aca="false">IF(OR(I3="",I4=""),"",I3-I4)</f>
        <v/>
      </c>
    </row>
    <row r="6" customFormat="false" ht="15" hidden="false" customHeight="false" outlineLevel="0" collapsed="false">
      <c r="A6" s="16" t="n">
        <v>5</v>
      </c>
      <c r="B6" s="17"/>
      <c r="C6" s="17"/>
      <c r="D6" s="17"/>
      <c r="E6" s="18" t="str">
        <f aca="false">IF(OR(C6="",D6=""),"",IF(C6=D6,"Yes","No"))</f>
        <v/>
      </c>
      <c r="F6" s="17"/>
    </row>
    <row r="7" customFormat="false" ht="15" hidden="false" customHeight="false" outlineLevel="0" collapsed="false">
      <c r="A7" s="16" t="n">
        <v>6</v>
      </c>
      <c r="B7" s="17"/>
      <c r="C7" s="17"/>
      <c r="D7" s="17"/>
      <c r="E7" s="18" t="str">
        <f aca="false">IF(OR(C7="",D7=""),"",IF(C7=D7,"Yes","No"))</f>
        <v/>
      </c>
      <c r="F7" s="17"/>
    </row>
    <row r="8" customFormat="false" ht="15" hidden="false" customHeight="false" outlineLevel="0" collapsed="false">
      <c r="A8" s="16" t="n">
        <v>7</v>
      </c>
      <c r="B8" s="17"/>
      <c r="C8" s="17"/>
      <c r="D8" s="17"/>
      <c r="E8" s="18" t="str">
        <f aca="false">IF(OR(C8="",D8=""),"",IF(C8=D8,"Yes","No"))</f>
        <v/>
      </c>
      <c r="F8" s="17"/>
    </row>
    <row r="9" customFormat="false" ht="15" hidden="false" customHeight="false" outlineLevel="0" collapsed="false">
      <c r="A9" s="16" t="n">
        <v>8</v>
      </c>
      <c r="B9" s="17"/>
      <c r="C9" s="17"/>
      <c r="D9" s="17"/>
      <c r="E9" s="18" t="str">
        <f aca="false">IF(OR(C9="",D9=""),"",IF(C9=D9,"Yes","No"))</f>
        <v/>
      </c>
      <c r="F9" s="17"/>
    </row>
    <row r="10" customFormat="false" ht="15" hidden="false" customHeight="false" outlineLevel="0" collapsed="false">
      <c r="A10" s="16" t="n">
        <v>9</v>
      </c>
      <c r="B10" s="17"/>
      <c r="C10" s="17"/>
      <c r="D10" s="17"/>
      <c r="E10" s="18" t="str">
        <f aca="false">IF(OR(C10="",D10=""),"",IF(C10=D10,"Yes","No"))</f>
        <v/>
      </c>
      <c r="F10" s="17"/>
    </row>
    <row r="11" customFormat="false" ht="15" hidden="false" customHeight="false" outlineLevel="0" collapsed="false">
      <c r="A11" s="16" t="n">
        <v>10</v>
      </c>
      <c r="B11" s="17"/>
      <c r="C11" s="17"/>
      <c r="D11" s="17"/>
      <c r="E11" s="18" t="str">
        <f aca="false">IF(OR(C11="",D11=""),"",IF(C11=D11,"Yes","No"))</f>
        <v/>
      </c>
      <c r="F11" s="17"/>
    </row>
    <row r="12" customFormat="false" ht="15" hidden="false" customHeight="false" outlineLevel="0" collapsed="false">
      <c r="A12" s="16" t="n">
        <v>11</v>
      </c>
      <c r="B12" s="17"/>
      <c r="C12" s="17"/>
      <c r="D12" s="17"/>
      <c r="E12" s="18" t="str">
        <f aca="false">IF(OR(C12="",D12=""),"",IF(C12=D12,"Yes","No"))</f>
        <v/>
      </c>
      <c r="F12" s="17"/>
    </row>
    <row r="13" customFormat="false" ht="15" hidden="false" customHeight="false" outlineLevel="0" collapsed="false">
      <c r="A13" s="16" t="n">
        <v>12</v>
      </c>
      <c r="B13" s="17"/>
      <c r="C13" s="17"/>
      <c r="D13" s="17"/>
      <c r="E13" s="18" t="str">
        <f aca="false">IF(OR(C13="",D13=""),"",IF(C13=D13,"Yes","No"))</f>
        <v/>
      </c>
      <c r="F13" s="17"/>
    </row>
    <row r="14" customFormat="false" ht="15" hidden="false" customHeight="false" outlineLevel="0" collapsed="false">
      <c r="A14" s="16" t="n">
        <v>13</v>
      </c>
      <c r="B14" s="17"/>
      <c r="C14" s="17"/>
      <c r="D14" s="17"/>
      <c r="E14" s="18" t="str">
        <f aca="false">IF(OR(C14="",D14=""),"",IF(C14=D14,"Yes","No"))</f>
        <v/>
      </c>
      <c r="F14" s="17"/>
    </row>
    <row r="15" customFormat="false" ht="15" hidden="false" customHeight="false" outlineLevel="0" collapsed="false">
      <c r="A15" s="16" t="n">
        <v>14</v>
      </c>
      <c r="B15" s="17"/>
      <c r="C15" s="17"/>
      <c r="D15" s="17"/>
      <c r="E15" s="18" t="str">
        <f aca="false">IF(OR(C15="",D15=""),"",IF(C15=D15,"Yes","No"))</f>
        <v/>
      </c>
      <c r="F15" s="17"/>
    </row>
    <row r="16" customFormat="false" ht="15" hidden="false" customHeight="false" outlineLevel="0" collapsed="false">
      <c r="A16" s="16" t="n">
        <v>15</v>
      </c>
      <c r="B16" s="17"/>
      <c r="C16" s="17"/>
      <c r="D16" s="17"/>
      <c r="E16" s="18" t="str">
        <f aca="false">IF(OR(C16="",D16=""),"",IF(C16=D16,"Yes","No"))</f>
        <v/>
      </c>
      <c r="F16" s="17"/>
    </row>
    <row r="17" customFormat="false" ht="15" hidden="false" customHeight="false" outlineLevel="0" collapsed="false">
      <c r="A17" s="16" t="n">
        <v>16</v>
      </c>
      <c r="B17" s="17"/>
      <c r="C17" s="17"/>
      <c r="D17" s="17"/>
      <c r="E17" s="18" t="str">
        <f aca="false">IF(OR(C17="",D17=""),"",IF(C17=D17,"Yes","No"))</f>
        <v/>
      </c>
      <c r="F17" s="17"/>
    </row>
    <row r="18" customFormat="false" ht="15" hidden="false" customHeight="false" outlineLevel="0" collapsed="false">
      <c r="A18" s="16" t="n">
        <v>17</v>
      </c>
      <c r="B18" s="17"/>
      <c r="C18" s="17"/>
      <c r="D18" s="17"/>
      <c r="E18" s="18" t="str">
        <f aca="false">IF(OR(C18="",D18=""),"",IF(C18=D18,"Yes","No"))</f>
        <v/>
      </c>
      <c r="F18" s="17"/>
    </row>
    <row r="19" customFormat="false" ht="15" hidden="false" customHeight="false" outlineLevel="0" collapsed="false">
      <c r="A19" s="16" t="n">
        <v>18</v>
      </c>
      <c r="B19" s="17"/>
      <c r="C19" s="17"/>
      <c r="D19" s="17"/>
      <c r="E19" s="18" t="str">
        <f aca="false">IF(OR(C19="",D19=""),"",IF(C19=D19,"Yes","No"))</f>
        <v/>
      </c>
      <c r="F19" s="17"/>
    </row>
    <row r="20" customFormat="false" ht="15" hidden="false" customHeight="false" outlineLevel="0" collapsed="false">
      <c r="A20" s="16" t="n">
        <v>19</v>
      </c>
      <c r="B20" s="17"/>
      <c r="C20" s="17"/>
      <c r="D20" s="17"/>
      <c r="E20" s="18" t="str">
        <f aca="false">IF(OR(C20="",D20=""),"",IF(C20=D20,"Yes","No"))</f>
        <v/>
      </c>
      <c r="F20" s="17"/>
    </row>
    <row r="21" customFormat="false" ht="15" hidden="false" customHeight="false" outlineLevel="0" collapsed="false">
      <c r="A21" s="16" t="n">
        <v>20</v>
      </c>
      <c r="B21" s="17"/>
      <c r="C21" s="17"/>
      <c r="D21" s="17"/>
      <c r="E21" s="18" t="str">
        <f aca="false">IF(OR(C21="",D21=""),"",IF(C21=D21,"Yes","No"))</f>
        <v/>
      </c>
      <c r="F21" s="17"/>
    </row>
    <row r="22" customFormat="false" ht="15" hidden="false" customHeight="false" outlineLevel="0" collapsed="false">
      <c r="A22" s="16" t="n">
        <v>21</v>
      </c>
      <c r="B22" s="17"/>
      <c r="C22" s="17"/>
      <c r="D22" s="17"/>
      <c r="E22" s="18" t="str">
        <f aca="false">IF(OR(C22="",D22=""),"",IF(C22=D22,"Yes","No"))</f>
        <v/>
      </c>
      <c r="F22" s="17"/>
    </row>
    <row r="23" customFormat="false" ht="15" hidden="false" customHeight="false" outlineLevel="0" collapsed="false">
      <c r="A23" s="16" t="n">
        <v>22</v>
      </c>
      <c r="B23" s="17"/>
      <c r="C23" s="17"/>
      <c r="D23" s="17"/>
      <c r="E23" s="18" t="str">
        <f aca="false">IF(OR(C23="",D23=""),"",IF(C23=D23,"Yes","No"))</f>
        <v/>
      </c>
      <c r="F23" s="17"/>
    </row>
    <row r="24" customFormat="false" ht="15" hidden="false" customHeight="false" outlineLevel="0" collapsed="false">
      <c r="A24" s="16" t="n">
        <v>23</v>
      </c>
      <c r="B24" s="17"/>
      <c r="C24" s="17"/>
      <c r="D24" s="17"/>
      <c r="E24" s="18" t="str">
        <f aca="false">IF(OR(C24="",D24=""),"",IF(C24=D24,"Yes","No"))</f>
        <v/>
      </c>
      <c r="F24" s="17"/>
    </row>
    <row r="25" customFormat="false" ht="15" hidden="false" customHeight="false" outlineLevel="0" collapsed="false">
      <c r="A25" s="16" t="n">
        <v>24</v>
      </c>
      <c r="B25" s="17"/>
      <c r="C25" s="17"/>
      <c r="D25" s="17"/>
      <c r="E25" s="18" t="str">
        <f aca="false">IF(OR(C25="",D25=""),"",IF(C25=D25,"Yes","No"))</f>
        <v/>
      </c>
      <c r="F25" s="17"/>
    </row>
    <row r="26" customFormat="false" ht="15" hidden="false" customHeight="false" outlineLevel="0" collapsed="false">
      <c r="A26" s="16" t="n">
        <v>25</v>
      </c>
      <c r="B26" s="17"/>
      <c r="C26" s="17"/>
      <c r="D26" s="17"/>
      <c r="E26" s="18" t="str">
        <f aca="false">IF(OR(C26="",D26=""),"",IF(C26=D26,"Yes","No"))</f>
        <v/>
      </c>
      <c r="F26" s="17"/>
    </row>
    <row r="27" customFormat="false" ht="15" hidden="false" customHeight="false" outlineLevel="0" collapsed="false">
      <c r="A27" s="16" t="n">
        <v>26</v>
      </c>
      <c r="B27" s="17"/>
      <c r="C27" s="17"/>
      <c r="D27" s="17"/>
      <c r="E27" s="18" t="str">
        <f aca="false">IF(OR(C27="",D27=""),"",IF(C27=D27,"Yes","No"))</f>
        <v/>
      </c>
      <c r="F27" s="17"/>
    </row>
    <row r="28" customFormat="false" ht="15" hidden="false" customHeight="false" outlineLevel="0" collapsed="false">
      <c r="A28" s="16" t="n">
        <v>27</v>
      </c>
      <c r="B28" s="17"/>
      <c r="C28" s="17"/>
      <c r="D28" s="17"/>
      <c r="E28" s="18" t="str">
        <f aca="false">IF(OR(C28="",D28=""),"",IF(C28=D28,"Yes","No"))</f>
        <v/>
      </c>
      <c r="F28" s="17"/>
    </row>
    <row r="29" customFormat="false" ht="15" hidden="false" customHeight="false" outlineLevel="0" collapsed="false">
      <c r="A29" s="16" t="n">
        <v>28</v>
      </c>
      <c r="B29" s="17"/>
      <c r="C29" s="17"/>
      <c r="D29" s="17"/>
      <c r="E29" s="18" t="str">
        <f aca="false">IF(OR(C29="",D29=""),"",IF(C29=D29,"Yes","No"))</f>
        <v/>
      </c>
      <c r="F29" s="17"/>
    </row>
    <row r="30" customFormat="false" ht="15" hidden="false" customHeight="false" outlineLevel="0" collapsed="false">
      <c r="A30" s="16" t="n">
        <v>29</v>
      </c>
      <c r="B30" s="17"/>
      <c r="C30" s="17"/>
      <c r="D30" s="17"/>
      <c r="E30" s="18" t="str">
        <f aca="false">IF(OR(C30="",D30=""),"",IF(C30=D30,"Yes","No"))</f>
        <v/>
      </c>
      <c r="F30" s="17"/>
    </row>
    <row r="31" customFormat="false" ht="15" hidden="false" customHeight="false" outlineLevel="0" collapsed="false">
      <c r="A31" s="16" t="n">
        <v>30</v>
      </c>
      <c r="B31" s="17"/>
      <c r="C31" s="17"/>
      <c r="D31" s="17"/>
      <c r="E31" s="18" t="str">
        <f aca="false">IF(OR(C31="",D31=""),"",IF(C31=D31,"Yes","No"))</f>
        <v/>
      </c>
      <c r="F31" s="17"/>
    </row>
  </sheetData>
  <dataValidations count="1">
    <dataValidation allowBlank="true" errorStyle="stop" operator="between" showDropDown="false" showErrorMessage="false" showInputMessage="false" sqref="B2:B31" type="list">
      <formula1>"Seen,Unseen"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21" t="s">
        <v>64</v>
      </c>
    </row>
    <row r="3" customFormat="false" ht="15" hidden="false" customHeight="false" outlineLevel="0" collapsed="false">
      <c r="A3" s="8" t="s">
        <v>65</v>
      </c>
      <c r="B3" s="8" t="s">
        <v>66</v>
      </c>
      <c r="C3" s="8" t="s">
        <v>67</v>
      </c>
    </row>
    <row r="4" customFormat="false" ht="15" hidden="false" customHeight="false" outlineLevel="0" collapsed="false">
      <c r="A4" s="14" t="s">
        <v>68</v>
      </c>
      <c r="B4" s="15" t="n">
        <f aca="false">Results!B4</f>
        <v>0</v>
      </c>
      <c r="C4" s="22" t="s">
        <v>69</v>
      </c>
    </row>
    <row r="5" customFormat="false" ht="15" hidden="false" customHeight="false" outlineLevel="0" collapsed="false">
      <c r="A5" s="14" t="s">
        <v>70</v>
      </c>
      <c r="B5" s="15" t="n">
        <f aca="false">Results!B5</f>
        <v>9.4</v>
      </c>
      <c r="C5" s="22" t="s">
        <v>71</v>
      </c>
    </row>
    <row r="6" customFormat="false" ht="15" hidden="false" customHeight="false" outlineLevel="0" collapsed="false">
      <c r="A6" s="14" t="s">
        <v>72</v>
      </c>
      <c r="B6" s="15" t="n">
        <f aca="false">Results!B6</f>
        <v>6.30400089163737</v>
      </c>
      <c r="C6" s="22" t="s">
        <v>73</v>
      </c>
    </row>
    <row r="7" customFormat="false" ht="15" hidden="false" customHeight="false" outlineLevel="0" collapsed="false">
      <c r="A7" s="14" t="s">
        <v>74</v>
      </c>
      <c r="B7" s="15" t="n">
        <f aca="false">Results!B7</f>
        <v>6.0827969163472</v>
      </c>
      <c r="C7" s="22" t="s">
        <v>75</v>
      </c>
    </row>
    <row r="8" customFormat="false" ht="15" hidden="false" customHeight="false" outlineLevel="0" collapsed="false">
      <c r="A8" s="14" t="s">
        <v>76</v>
      </c>
      <c r="B8" s="23" t="n">
        <f aca="false">B5/B7</f>
        <v>1.5453417448046</v>
      </c>
      <c r="C8" s="22" t="s">
        <v>77</v>
      </c>
    </row>
    <row r="9" customFormat="false" ht="15" hidden="false" customHeight="false" outlineLevel="0" collapsed="false">
      <c r="A9" s="14" t="s">
        <v>78</v>
      </c>
      <c r="B9" s="15" t="n">
        <f aca="false">B7-B6</f>
        <v>-0.22120397529017</v>
      </c>
      <c r="C9" s="22" t="s">
        <v>79</v>
      </c>
    </row>
    <row r="10" customFormat="false" ht="15" hidden="false" customHeight="false" outlineLevel="0" collapsed="false">
      <c r="A10" s="14" t="s">
        <v>80</v>
      </c>
      <c r="B10" s="23" t="n">
        <f aca="false">SLOPE(Train!C2:C21,Train!B2:B21)</f>
        <v>4.46046007605402</v>
      </c>
      <c r="C10" s="22" t="s">
        <v>81</v>
      </c>
    </row>
    <row r="11" customFormat="false" ht="15" hidden="false" customHeight="false" outlineLevel="0" collapsed="false">
      <c r="A11" s="14" t="s">
        <v>82</v>
      </c>
      <c r="B11" s="15" t="n">
        <f aca="false">INTERCEPT(Train!C2:C21,Train!B2:B21)</f>
        <v>38.2728057223697</v>
      </c>
      <c r="C11" s="22"/>
    </row>
    <row r="13" customFormat="false" ht="15" hidden="false" customHeight="false" outlineLevel="0" collapsed="false">
      <c r="A13" s="2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2026-10-10T05:19:24Z</dcterms:created>
  <dc:creator>openpyxl</dc:creator>
  <dc:description/>
  <dc:language>en-US</dc:language>
  <cp:lastModifiedBy/>
  <dcterms:modified xsi:type="dcterms:W3CDTF">2026-10-10T05:19:27Z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