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se File" sheetId="2" state="visible" r:id="rId4"/>
    <sheet name="My Data" sheetId="3" state="visible" r:id="rId5"/>
    <sheet name="Checklist" sheetId="4" state="visible" r:id="rId6"/>
    <sheet name="Example (Case 1)" sheetId="5" state="visible" r:id="rId7"/>
    <sheet name="Example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<sst xmlns="http://schemas.openxmlformats.org/spreadsheetml/2006/main" count="131" uniqueCount="95">
  <si>
    <t xml:space="preserve">RED STRINGS LAB · CASE 08 · Finale: Build Your Own Case — Case File Kit</t>
  </si>
  <si>
    <t xml:space="preserve">Every dataset is hiding something.</t>
  </si>
  <si>
    <t xml:space="preserve">This is the Rookie finale. You ask your own question, collect your own data, and close (or honestly leave open) your own case.</t>
  </si>
  <si>
    <t xml:space="preserve">TABS</t>
  </si>
  <si>
    <t xml:space="preserve">• Case File — your one-page report. Yellow cells are yours. Numbers fill in from 'My Data'.</t>
  </si>
  <si>
    <t xml:space="preserve">• My Data — paste your answers here: one row per person, no names. Measure 1 is required, Measure 2 is optional.</t>
  </si>
  <si>
    <t xml:space="preserve">• Checklist — nine honesty checks from Cases 1 to 7. Say Yes only if you really did it.</t>
  </si>
  <si>
    <t xml:space="preserve">• Example (Case 1) — a finished case file built from the made-up Case 1 data, so you can see the standard.</t>
  </si>
  <si>
    <t xml:space="preserve">• Example Data — the made-up data behind the example.</t>
  </si>
  <si>
    <t xml:space="preserve">RULES</t>
  </si>
  <si>
    <t xml:space="preserve">1. No names, no faces, no school names, no addresses, no personal details. Anonymous only.</t>
  </si>
  <si>
    <t xml:space="preserve">2. Ask people first, and let anyone say no. Skip sensitive topics (health, family, money problems, anything that could embarrass someone).</t>
  </si>
  <si>
    <t xml:space="preserve">3. Pick a question you can answer with a number from at least 10 people.</t>
  </si>
  <si>
    <t xml:space="preserve">4. Keep your original data untouched. Clean a copy and log every change.</t>
  </si>
  <si>
    <t xml:space="preserve">5. Finish with one honest sentence: what the data shows, and what it cannot prove.</t>
  </si>
  <si>
    <t xml:space="preserve">Not affiliated with Google or any tool shown. Free to use for learning. Terms checked: [add date].</t>
  </si>
  <si>
    <t xml:space="preserve">RED STRINGS LAB · CASE FILE</t>
  </si>
  <si>
    <t xml:space="preserve">⚠ Anonymous. No names or personal details.</t>
  </si>
  <si>
    <t xml:space="preserve">1. THE CASE</t>
  </si>
  <si>
    <t xml:space="preserve">Detective name (not your real name)</t>
  </si>
  <si>
    <t xml:space="preserve">The question</t>
  </si>
  <si>
    <t xml:space="preserve">2. THE EVIDENCE</t>
  </si>
  <si>
    <t xml:space="preserve">Who I asked and how I chose them</t>
  </si>
  <si>
    <t xml:space="preserve">People asked</t>
  </si>
  <si>
    <t xml:space="preserve">Answers received</t>
  </si>
  <si>
    <t xml:space="preserve">Response rate</t>
  </si>
  <si>
    <t xml:space="preserve">Who I did NOT ask (and who might be missing)</t>
  </si>
  <si>
    <t xml:space="preserve">What I cleaned (blank, fixed, removed) and why</t>
  </si>
  <si>
    <t xml:space="preserve">3. THE NUMBERS (fill themselves from the data tab)</t>
  </si>
  <si>
    <t xml:space="preserve">Average of Measure 1</t>
  </si>
  <si>
    <t xml:space="preserve">Median of Measure 1</t>
  </si>
  <si>
    <t xml:space="preserve">Lowest / highest</t>
  </si>
  <si>
    <t xml:space="preserve">Correlation (needs Measure 2)</t>
  </si>
  <si>
    <t xml:space="preserve">Weirdest number and what I did with it</t>
  </si>
  <si>
    <t xml:space="preserve">My chart (type, and does the axis start at 0?)</t>
  </si>
  <si>
    <t xml:space="preserve">4. THE THREE QUESTIONS</t>
  </si>
  <si>
    <t xml:space="preserve">Could a THIRD thing cause both?</t>
  </si>
  <si>
    <t xml:space="preserve">Could it be REVERSED?</t>
  </si>
  <si>
    <t xml:space="preserve">Could it be CHANCE? (how many pairs, how many rows?)</t>
  </si>
  <si>
    <t xml:space="preserve">5. CASE STATUS</t>
  </si>
  <si>
    <t xml:space="preserve">My honest sentence: my data SHOWS…</t>
  </si>
  <si>
    <t xml:space="preserve">…but it CANNOT PROVE…</t>
  </si>
  <si>
    <t xml:space="preserve">Case status (open / closed)</t>
  </si>
  <si>
    <t xml:space="preserve">ID (1, 2, 3…)</t>
  </si>
  <si>
    <t xml:space="preserve">Group (optional)</t>
  </si>
  <si>
    <t xml:space="preserve">Measure 1 (number)</t>
  </si>
  <si>
    <t xml:space="preserve">Measure 2 (number, optional)</t>
  </si>
  <si>
    <t xml:space="preserve">Notes</t>
  </si>
  <si>
    <t xml:space="preserve">Paste one row per person. No names. Rows 2 to 201 are counted. Leave a cell blank if the person skipped.</t>
  </si>
  <si>
    <t xml:space="preserve">ROOKIE CHECKLIST: nine honesty checks</t>
  </si>
  <si>
    <t xml:space="preserve">Case</t>
  </si>
  <si>
    <t xml:space="preserve">Did I do this?</t>
  </si>
  <si>
    <t xml:space="preserve">Yes / No</t>
  </si>
  <si>
    <t xml:space="preserve">From</t>
  </si>
  <si>
    <t xml:space="preserve">My data is anonymous: no names or personal details</t>
  </si>
  <si>
    <t xml:space="preserve">No</t>
  </si>
  <si>
    <t xml:space="preserve">Case 1</t>
  </si>
  <si>
    <t xml:space="preserve">I checked the average AND the median, and explained my weirdest number</t>
  </si>
  <si>
    <t xml:space="preserve">My charts start where they should, and show the whole picture</t>
  </si>
  <si>
    <t xml:space="preserve">Case 2</t>
  </si>
  <si>
    <t xml:space="preserve">If I used outside data, I credited the source and checked its terms (or I used none)</t>
  </si>
  <si>
    <t xml:space="preserve">Case 3</t>
  </si>
  <si>
    <t xml:space="preserve">I asked the three questions: third thing, reversed, chance</t>
  </si>
  <si>
    <t xml:space="preserve">Case 4</t>
  </si>
  <si>
    <t xml:space="preserve">I wrote down who I asked, how I chose them, and who I did NOT ask</t>
  </si>
  <si>
    <t xml:space="preserve">Case 5</t>
  </si>
  <si>
    <t xml:space="preserve">I counted the blanks and worked out my response rate</t>
  </si>
  <si>
    <t xml:space="preserve">Case 6</t>
  </si>
  <si>
    <t xml:space="preserve">I kept the original data untouched and logged every cleaning change</t>
  </si>
  <si>
    <t xml:space="preserve">Case 7</t>
  </si>
  <si>
    <t xml:space="preserve">I wrote one honest sentence: what it shows, and what it cannot prove</t>
  </si>
  <si>
    <t xml:space="preserve">All</t>
  </si>
  <si>
    <t xml:space="preserve">Checks passed</t>
  </si>
  <si>
    <t xml:space="preserve">Status</t>
  </si>
  <si>
    <t xml:space="preserve">This is a self-check. The honest answer is the useful one.</t>
  </si>
  <si>
    <t xml:space="preserve">EXAMPLE built from the MADE-UP Case 1 data. Not real people.</t>
  </si>
  <si>
    <t xml:space="preserve">Inspector Sock</t>
  </si>
  <si>
    <t xml:space="preserve">Do people who sleep less use their phones more?</t>
  </si>
  <si>
    <t xml:space="preserve">10 friends, picked because they were easy to ask (a biased sample).</t>
  </si>
  <si>
    <t xml:space="preserve">Other years, people I don't talk to, people without phones.</t>
  </si>
  <si>
    <t xml:space="preserve">Nothing removed. One 14-hour screen-time answer kept and flagged as an outlier.</t>
  </si>
  <si>
    <t xml:space="preserve">14 hours of screen time. Kept it, said so out loud, and showed the result with and without it.</t>
  </si>
  <si>
    <t xml:space="preserve">Scatter chart, sleep against screen time, with a trendline.</t>
  </si>
  <si>
    <t xml:space="preserve">Yes: stress or a busy schedule could shorten sleep and increase phone use.</t>
  </si>
  <si>
    <t xml:space="preserve">Possibly: sleeping badly might push people to scroll at night.</t>
  </si>
  <si>
    <t xml:space="preserve">One pair tried, only 10 rows. Chance is a real risk.</t>
  </si>
  <si>
    <t xml:space="preserve">…that in my 10 friends, people who slept less tended to use their phones more.</t>
  </si>
  <si>
    <t xml:space="preserve">…that screens cause bad sleep, or that this holds for anyone outside my friends.</t>
  </si>
  <si>
    <t xml:space="preserve">Open: a lead worth testing with a random sample.</t>
  </si>
  <si>
    <t xml:space="preserve">ID</t>
  </si>
  <si>
    <t xml:space="preserve">Group</t>
  </si>
  <si>
    <t xml:space="preserve">Screen time (hours)</t>
  </si>
  <si>
    <t xml:space="preserve">Sleep (hours)</t>
  </si>
  <si>
    <t xml:space="preserve">Made-up data from Case 1. Not real people.</t>
  </si>
  <si>
    <t xml:space="preserve">Outlier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</si>
</sst>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B00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EF1F8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8"/>
  </cols>
  <sheetData>
    <row r="2" customFormat="false" ht="35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5" t="s">
        <v>3</v>
      </c>
    </row>
    <row r="8" customFormat="false" ht="15" hidden="false" customHeight="false" outlineLevel="0" collapsed="false">
      <c r="B8" s="4" t="s">
        <v>4</v>
      </c>
    </row>
    <row r="9" customFormat="false" ht="26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26.8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4" t="s">
        <v>10</v>
      </c>
    </row>
    <row r="16" customFormat="false" ht="26.8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8"/>
  </cols>
  <sheetData>
    <row r="1" customFormat="false" ht="19.7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  <c r="B4" s="10"/>
    </row>
    <row r="5" customFormat="false" ht="21.75" hidden="false" customHeight="true" outlineLevel="0" collapsed="false">
      <c r="A5" s="11" t="s">
        <v>19</v>
      </c>
      <c r="B5" s="12"/>
    </row>
    <row r="6" customFormat="false" ht="33.75" hidden="false" customHeight="true" outlineLevel="0" collapsed="false">
      <c r="A6" s="11" t="s">
        <v>20</v>
      </c>
      <c r="B6" s="12"/>
    </row>
    <row r="8" customFormat="false" ht="15" hidden="false" customHeight="false" outlineLevel="0" collapsed="false">
      <c r="A8" s="9" t="s">
        <v>21</v>
      </c>
      <c r="B8" s="10"/>
    </row>
    <row r="9" customFormat="false" ht="33.75" hidden="false" customHeight="true" outlineLevel="0" collapsed="false">
      <c r="A9" s="11" t="s">
        <v>22</v>
      </c>
      <c r="B9" s="12"/>
    </row>
    <row r="10" customFormat="false" ht="19.5" hidden="false" customHeight="true" outlineLevel="0" collapsed="false">
      <c r="A10" s="11" t="s">
        <v>23</v>
      </c>
      <c r="B10" s="12"/>
    </row>
    <row r="11" customFormat="false" ht="19.5" hidden="false" customHeight="true" outlineLevel="0" collapsed="false">
      <c r="A11" s="11" t="s">
        <v>24</v>
      </c>
      <c r="B11" s="13" t="n">
        <f aca="false">COUNT('My Data'!$C$2:$C$201)</f>
        <v>0</v>
      </c>
    </row>
    <row r="12" customFormat="false" ht="19.5" hidden="false" customHeight="true" outlineLevel="0" collapsed="false">
      <c r="A12" s="11" t="s">
        <v>25</v>
      </c>
      <c r="B12" s="14" t="str">
        <f aca="false">IF(B10="","",B11/B10)</f>
        <v/>
      </c>
    </row>
    <row r="13" customFormat="false" ht="33.75" hidden="false" customHeight="true" outlineLevel="0" collapsed="false">
      <c r="A13" s="11" t="s">
        <v>26</v>
      </c>
      <c r="B13" s="12"/>
    </row>
    <row r="14" customFormat="false" ht="33.75" hidden="false" customHeight="true" outlineLevel="0" collapsed="false">
      <c r="A14" s="11" t="s">
        <v>27</v>
      </c>
      <c r="B14" s="12"/>
    </row>
    <row r="16" customFormat="false" ht="15" hidden="false" customHeight="false" outlineLevel="0" collapsed="false">
      <c r="A16" s="9" t="s">
        <v>28</v>
      </c>
      <c r="B16" s="10"/>
    </row>
    <row r="17" customFormat="false" ht="19.5" hidden="false" customHeight="true" outlineLevel="0" collapsed="false">
      <c r="A17" s="11" t="s">
        <v>29</v>
      </c>
      <c r="B17" s="15" t="str">
        <f aca="false">IFERROR(AVERAGE('My Data'!$C$2:$C$201),"")</f>
        <v/>
      </c>
    </row>
    <row r="18" customFormat="false" ht="19.5" hidden="false" customHeight="true" outlineLevel="0" collapsed="false">
      <c r="A18" s="11" t="s">
        <v>30</v>
      </c>
      <c r="B18" s="15" t="str">
        <f aca="false">IFERROR(MEDIAN('My Data'!$C$2:$C$201),"")</f>
        <v/>
      </c>
    </row>
    <row r="19" customFormat="false" ht="19.5" hidden="false" customHeight="true" outlineLevel="0" collapsed="false">
      <c r="A19" s="11" t="s">
        <v>31</v>
      </c>
      <c r="B19" s="13" t="str">
        <f aca="false">IF(COUNT('My Data'!$C$2:$C$201)=0,"",TEXT(MIN('My Data'!$C$2:$C$201),"0.0")&amp;" / "&amp;TEXT(MAX('My Data'!$C$2:$C$201),"0.0"))</f>
        <v/>
      </c>
    </row>
    <row r="20" customFormat="false" ht="19.5" hidden="false" customHeight="true" outlineLevel="0" collapsed="false">
      <c r="A20" s="11" t="s">
        <v>32</v>
      </c>
      <c r="B20" s="15" t="str">
        <f aca="false">IFERROR(CORREL('My Data'!$C$2:$C$201,'My Data'!$D$2:$D$201),"")</f>
        <v/>
      </c>
    </row>
    <row r="21" customFormat="false" ht="33.75" hidden="false" customHeight="true" outlineLevel="0" collapsed="false">
      <c r="A21" s="11" t="s">
        <v>33</v>
      </c>
      <c r="B21" s="12"/>
    </row>
    <row r="22" customFormat="false" ht="33.75" hidden="false" customHeight="true" outlineLevel="0" collapsed="false">
      <c r="A22" s="11" t="s">
        <v>34</v>
      </c>
      <c r="B22" s="12"/>
    </row>
    <row r="24" customFormat="false" ht="15" hidden="false" customHeight="false" outlineLevel="0" collapsed="false">
      <c r="A24" s="9" t="s">
        <v>35</v>
      </c>
      <c r="B24" s="10"/>
    </row>
    <row r="25" customFormat="false" ht="33.75" hidden="false" customHeight="true" outlineLevel="0" collapsed="false">
      <c r="A25" s="11" t="s">
        <v>36</v>
      </c>
      <c r="B25" s="12"/>
    </row>
    <row r="26" customFormat="false" ht="33.75" hidden="false" customHeight="true" outlineLevel="0" collapsed="false">
      <c r="A26" s="11" t="s">
        <v>37</v>
      </c>
      <c r="B26" s="12"/>
    </row>
    <row r="27" customFormat="false" ht="33.75" hidden="false" customHeight="true" outlineLevel="0" collapsed="false">
      <c r="A27" s="11" t="s">
        <v>38</v>
      </c>
      <c r="B27" s="12"/>
    </row>
    <row r="29" customFormat="false" ht="15" hidden="false" customHeight="false" outlineLevel="0" collapsed="false">
      <c r="A29" s="9" t="s">
        <v>39</v>
      </c>
      <c r="B29" s="10"/>
    </row>
    <row r="30" customFormat="false" ht="33.75" hidden="false" customHeight="true" outlineLevel="0" collapsed="false">
      <c r="A30" s="11" t="s">
        <v>40</v>
      </c>
      <c r="B30" s="12"/>
    </row>
    <row r="31" customFormat="false" ht="33.75" hidden="false" customHeight="true" outlineLevel="0" collapsed="false">
      <c r="A31" s="11" t="s">
        <v>41</v>
      </c>
      <c r="B31" s="12"/>
    </row>
    <row r="32" customFormat="false" ht="21.75" hidden="false" customHeight="true" outlineLevel="0" collapsed="false">
      <c r="A32" s="11" t="s">
        <v>42</v>
      </c>
      <c r="B3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39.75" hidden="false" customHeight="true" outlineLevel="0" collapsed="false">
      <c r="A1" s="16" t="s">
        <v>43</v>
      </c>
      <c r="B1" s="16" t="s">
        <v>44</v>
      </c>
      <c r="C1" s="16" t="s">
        <v>45</v>
      </c>
      <c r="D1" s="16" t="s">
        <v>46</v>
      </c>
      <c r="E1" s="16" t="s">
        <v>47</v>
      </c>
      <c r="G1" s="1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8" t="s">
        <v>49</v>
      </c>
    </row>
    <row r="3" customFormat="false" ht="15" hidden="false" customHeight="false" outlineLevel="0" collapsed="false">
      <c r="A3" s="19" t="s">
        <v>50</v>
      </c>
      <c r="B3" s="19" t="s">
        <v>51</v>
      </c>
      <c r="C3" s="19" t="s">
        <v>52</v>
      </c>
      <c r="D3" s="19" t="s">
        <v>53</v>
      </c>
    </row>
    <row r="4" customFormat="false" ht="15" hidden="false" customHeight="false" outlineLevel="0" collapsed="false">
      <c r="A4" s="20" t="n">
        <v>1</v>
      </c>
      <c r="B4" s="21" t="s">
        <v>54</v>
      </c>
      <c r="C4" s="22" t="s">
        <v>55</v>
      </c>
      <c r="D4" s="23" t="s">
        <v>56</v>
      </c>
    </row>
    <row r="5" customFormat="false" ht="15" hidden="false" customHeight="false" outlineLevel="0" collapsed="false">
      <c r="A5" s="20" t="n">
        <v>2</v>
      </c>
      <c r="B5" s="21" t="s">
        <v>57</v>
      </c>
      <c r="C5" s="22" t="s">
        <v>55</v>
      </c>
      <c r="D5" s="23" t="s">
        <v>56</v>
      </c>
    </row>
    <row r="6" customFormat="false" ht="15" hidden="false" customHeight="false" outlineLevel="0" collapsed="false">
      <c r="A6" s="20" t="n">
        <v>3</v>
      </c>
      <c r="B6" s="21" t="s">
        <v>58</v>
      </c>
      <c r="C6" s="22" t="s">
        <v>55</v>
      </c>
      <c r="D6" s="23" t="s">
        <v>59</v>
      </c>
    </row>
    <row r="7" customFormat="false" ht="15" hidden="false" customHeight="false" outlineLevel="0" collapsed="false">
      <c r="A7" s="20" t="n">
        <v>4</v>
      </c>
      <c r="B7" s="21" t="s">
        <v>60</v>
      </c>
      <c r="C7" s="22" t="s">
        <v>55</v>
      </c>
      <c r="D7" s="23" t="s">
        <v>61</v>
      </c>
    </row>
    <row r="8" customFormat="false" ht="15" hidden="false" customHeight="false" outlineLevel="0" collapsed="false">
      <c r="A8" s="20" t="n">
        <v>5</v>
      </c>
      <c r="B8" s="21" t="s">
        <v>62</v>
      </c>
      <c r="C8" s="22" t="s">
        <v>55</v>
      </c>
      <c r="D8" s="23" t="s">
        <v>63</v>
      </c>
    </row>
    <row r="9" customFormat="false" ht="15" hidden="false" customHeight="false" outlineLevel="0" collapsed="false">
      <c r="A9" s="20" t="n">
        <v>6</v>
      </c>
      <c r="B9" s="21" t="s">
        <v>64</v>
      </c>
      <c r="C9" s="22" t="s">
        <v>55</v>
      </c>
      <c r="D9" s="23" t="s">
        <v>65</v>
      </c>
    </row>
    <row r="10" customFormat="false" ht="15" hidden="false" customHeight="false" outlineLevel="0" collapsed="false">
      <c r="A10" s="20" t="n">
        <v>7</v>
      </c>
      <c r="B10" s="21" t="s">
        <v>66</v>
      </c>
      <c r="C10" s="22" t="s">
        <v>55</v>
      </c>
      <c r="D10" s="23" t="s">
        <v>67</v>
      </c>
    </row>
    <row r="11" customFormat="false" ht="15" hidden="false" customHeight="false" outlineLevel="0" collapsed="false">
      <c r="A11" s="20" t="n">
        <v>8</v>
      </c>
      <c r="B11" s="21" t="s">
        <v>68</v>
      </c>
      <c r="C11" s="22" t="s">
        <v>55</v>
      </c>
      <c r="D11" s="23" t="s">
        <v>69</v>
      </c>
    </row>
    <row r="12" customFormat="false" ht="15" hidden="false" customHeight="false" outlineLevel="0" collapsed="false">
      <c r="A12" s="20" t="n">
        <v>9</v>
      </c>
      <c r="B12" s="21" t="s">
        <v>70</v>
      </c>
      <c r="C12" s="22" t="s">
        <v>55</v>
      </c>
      <c r="D12" s="23" t="s">
        <v>71</v>
      </c>
    </row>
    <row r="14" customFormat="false" ht="15" hidden="false" customHeight="false" outlineLevel="0" collapsed="false">
      <c r="B14" s="24" t="s">
        <v>72</v>
      </c>
      <c r="C14" s="25" t="n">
        <f aca="false">COUNTIF(C4:C12,"Yes")</f>
        <v>0</v>
      </c>
    </row>
    <row r="15" customFormat="false" ht="15" hidden="false" customHeight="false" outlineLevel="0" collapsed="false">
      <c r="B15" s="24" t="s">
        <v>73</v>
      </c>
      <c r="C15" s="26" t="str">
        <f aca="false">IF(C14=9,"ROOKIE: CASE CLOSED","Not yet: "&amp;(9-C14)&amp;" to go")</f>
        <v>Not yet: 9 to go</v>
      </c>
    </row>
    <row r="17" customFormat="false" ht="15" hidden="false" customHeight="false" outlineLevel="0" collapsed="false">
      <c r="B17" s="17" t="s">
        <v>74</v>
      </c>
    </row>
  </sheetData>
  <conditionalFormatting sqref="C4:C12">
    <cfRule type="cellIs" priority="2" operator="equal" aboveAverage="0" equalAverage="0" bottom="0" percent="0" rank="0" text="" dxfId="0">
      <formula>"Yes"</formula>
    </cfRule>
  </conditionalFormatting>
  <dataValidations count="1">
    <dataValidation allowBlank="false" errorStyle="stop" operator="between" showDropDown="false" showErrorMessage="false" showInputMessage="false" sqref="C4:C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8"/>
  </cols>
  <sheetData>
    <row r="1" customFormat="false" ht="19.7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75</v>
      </c>
    </row>
    <row r="4" customFormat="false" ht="15" hidden="false" customHeight="false" outlineLevel="0" collapsed="false">
      <c r="A4" s="9" t="s">
        <v>18</v>
      </c>
      <c r="B4" s="10"/>
    </row>
    <row r="5" customFormat="false" ht="21.75" hidden="false" customHeight="true" outlineLevel="0" collapsed="false">
      <c r="A5" s="11" t="s">
        <v>19</v>
      </c>
      <c r="B5" s="27" t="s">
        <v>76</v>
      </c>
    </row>
    <row r="6" customFormat="false" ht="33.75" hidden="false" customHeight="true" outlineLevel="0" collapsed="false">
      <c r="A6" s="11" t="s">
        <v>20</v>
      </c>
      <c r="B6" s="27" t="s">
        <v>77</v>
      </c>
    </row>
    <row r="8" customFormat="false" ht="15" hidden="false" customHeight="false" outlineLevel="0" collapsed="false">
      <c r="A8" s="9" t="s">
        <v>21</v>
      </c>
      <c r="B8" s="10"/>
    </row>
    <row r="9" customFormat="false" ht="33.75" hidden="false" customHeight="true" outlineLevel="0" collapsed="false">
      <c r="A9" s="11" t="s">
        <v>22</v>
      </c>
      <c r="B9" s="27" t="s">
        <v>78</v>
      </c>
    </row>
    <row r="10" customFormat="false" ht="19.5" hidden="false" customHeight="true" outlineLevel="0" collapsed="false">
      <c r="A10" s="11" t="s">
        <v>23</v>
      </c>
      <c r="B10" s="27" t="n">
        <v>10</v>
      </c>
    </row>
    <row r="11" customFormat="false" ht="19.5" hidden="false" customHeight="true" outlineLevel="0" collapsed="false">
      <c r="A11" s="11" t="s">
        <v>24</v>
      </c>
      <c r="B11" s="13" t="n">
        <f aca="false">COUNT('Example Data'!$C$2:$C$201)</f>
        <v>10</v>
      </c>
    </row>
    <row r="12" customFormat="false" ht="19.5" hidden="false" customHeight="true" outlineLevel="0" collapsed="false">
      <c r="A12" s="11" t="s">
        <v>25</v>
      </c>
      <c r="B12" s="14" t="n">
        <f aca="false">IF(B10="","",B11/B10)</f>
        <v>1</v>
      </c>
    </row>
    <row r="13" customFormat="false" ht="33.75" hidden="false" customHeight="true" outlineLevel="0" collapsed="false">
      <c r="A13" s="11" t="s">
        <v>26</v>
      </c>
      <c r="B13" s="27" t="s">
        <v>79</v>
      </c>
    </row>
    <row r="14" customFormat="false" ht="33.75" hidden="false" customHeight="true" outlineLevel="0" collapsed="false">
      <c r="A14" s="11" t="s">
        <v>27</v>
      </c>
      <c r="B14" s="27" t="s">
        <v>80</v>
      </c>
    </row>
    <row r="16" customFormat="false" ht="15" hidden="false" customHeight="false" outlineLevel="0" collapsed="false">
      <c r="A16" s="9" t="s">
        <v>28</v>
      </c>
      <c r="B16" s="10"/>
    </row>
    <row r="17" customFormat="false" ht="19.5" hidden="false" customHeight="true" outlineLevel="0" collapsed="false">
      <c r="A17" s="11" t="s">
        <v>29</v>
      </c>
      <c r="B17" s="15" t="n">
        <f aca="false">IFERROR(AVERAGE('Example Data'!$C$2:$C$201),"")</f>
        <v>5.25</v>
      </c>
    </row>
    <row r="18" customFormat="false" ht="19.5" hidden="false" customHeight="true" outlineLevel="0" collapsed="false">
      <c r="A18" s="11" t="s">
        <v>30</v>
      </c>
      <c r="B18" s="15" t="n">
        <f aca="false">IFERROR(MEDIAN('Example Data'!$C$2:$C$201),"")</f>
        <v>4.5</v>
      </c>
    </row>
    <row r="19" customFormat="false" ht="19.5" hidden="false" customHeight="true" outlineLevel="0" collapsed="false">
      <c r="A19" s="11" t="s">
        <v>31</v>
      </c>
      <c r="B19" s="13" t="str">
        <f aca="false">IF(COUNT('Example Data'!$C$2:$C$201)=0,"",TEXT(MIN('Example Data'!$C$2:$C$201),"0.0")&amp;" / "&amp;TEXT(MAX('Example Data'!$C$2:$C$201),"0.0"))</f>
        <v>2.5 / 14.0</v>
      </c>
    </row>
    <row r="20" customFormat="false" ht="19.5" hidden="false" customHeight="true" outlineLevel="0" collapsed="false">
      <c r="A20" s="11" t="s">
        <v>32</v>
      </c>
      <c r="B20" s="15" t="n">
        <f aca="false">IFERROR(CORREL('Example Data'!$C$2:$C$201,'Example Data'!$D$2:$D$201),"")</f>
        <v>-0.367420911975096</v>
      </c>
    </row>
    <row r="21" customFormat="false" ht="33.75" hidden="false" customHeight="true" outlineLevel="0" collapsed="false">
      <c r="A21" s="11" t="s">
        <v>33</v>
      </c>
      <c r="B21" s="27" t="s">
        <v>81</v>
      </c>
    </row>
    <row r="22" customFormat="false" ht="33.75" hidden="false" customHeight="true" outlineLevel="0" collapsed="false">
      <c r="A22" s="11" t="s">
        <v>34</v>
      </c>
      <c r="B22" s="27" t="s">
        <v>82</v>
      </c>
    </row>
    <row r="24" customFormat="false" ht="15" hidden="false" customHeight="false" outlineLevel="0" collapsed="false">
      <c r="A24" s="9" t="s">
        <v>35</v>
      </c>
      <c r="B24" s="10"/>
    </row>
    <row r="25" customFormat="false" ht="33.75" hidden="false" customHeight="true" outlineLevel="0" collapsed="false">
      <c r="A25" s="11" t="s">
        <v>36</v>
      </c>
      <c r="B25" s="27" t="s">
        <v>83</v>
      </c>
    </row>
    <row r="26" customFormat="false" ht="33.75" hidden="false" customHeight="true" outlineLevel="0" collapsed="false">
      <c r="A26" s="11" t="s">
        <v>37</v>
      </c>
      <c r="B26" s="27" t="s">
        <v>84</v>
      </c>
    </row>
    <row r="27" customFormat="false" ht="33.75" hidden="false" customHeight="true" outlineLevel="0" collapsed="false">
      <c r="A27" s="11" t="s">
        <v>38</v>
      </c>
      <c r="B27" s="27" t="s">
        <v>85</v>
      </c>
    </row>
    <row r="29" customFormat="false" ht="15" hidden="false" customHeight="false" outlineLevel="0" collapsed="false">
      <c r="A29" s="9" t="s">
        <v>39</v>
      </c>
      <c r="B29" s="10"/>
    </row>
    <row r="30" customFormat="false" ht="33.75" hidden="false" customHeight="true" outlineLevel="0" collapsed="false">
      <c r="A30" s="11" t="s">
        <v>40</v>
      </c>
      <c r="B30" s="27" t="s">
        <v>86</v>
      </c>
    </row>
    <row r="31" customFormat="false" ht="33.75" hidden="false" customHeight="true" outlineLevel="0" collapsed="false">
      <c r="A31" s="11" t="s">
        <v>41</v>
      </c>
      <c r="B31" s="27" t="s">
        <v>87</v>
      </c>
    </row>
    <row r="32" customFormat="false" ht="21.75" hidden="false" customHeight="true" outlineLevel="0" collapsed="false">
      <c r="A32" s="11" t="s">
        <v>42</v>
      </c>
      <c r="B32" s="2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6"/>
  </cols>
  <sheetData>
    <row r="1" customFormat="false" ht="26.85" hidden="false" customHeight="false" outlineLevel="0" collapsed="false">
      <c r="A1" s="28" t="s">
        <v>89</v>
      </c>
      <c r="B1" s="28" t="s">
        <v>90</v>
      </c>
      <c r="C1" s="28" t="s">
        <v>91</v>
      </c>
      <c r="D1" s="28" t="s">
        <v>92</v>
      </c>
      <c r="E1" s="28" t="s">
        <v>47</v>
      </c>
      <c r="G1" s="17" t="s">
        <v>93</v>
      </c>
    </row>
    <row r="2" customFormat="false" ht="15" hidden="false" customHeight="false" outlineLevel="0" collapsed="false">
      <c r="A2" s="29" t="n">
        <v>1</v>
      </c>
      <c r="B2" s="29"/>
      <c r="C2" s="29" t="n">
        <v>4</v>
      </c>
      <c r="D2" s="29" t="n">
        <v>7</v>
      </c>
      <c r="E2" s="29"/>
    </row>
    <row r="3" customFormat="false" ht="15" hidden="false" customHeight="false" outlineLevel="0" collapsed="false">
      <c r="A3" s="29" t="n">
        <v>2</v>
      </c>
      <c r="B3" s="29"/>
      <c r="C3" s="29" t="n">
        <v>6</v>
      </c>
      <c r="D3" s="29" t="n">
        <v>6</v>
      </c>
      <c r="E3" s="29"/>
    </row>
    <row r="4" customFormat="false" ht="15" hidden="false" customHeight="false" outlineLevel="0" collapsed="false">
      <c r="A4" s="29" t="n">
        <v>3</v>
      </c>
      <c r="B4" s="29"/>
      <c r="C4" s="29" t="n">
        <v>2.5</v>
      </c>
      <c r="D4" s="29" t="n">
        <v>8.5</v>
      </c>
      <c r="E4" s="29"/>
    </row>
    <row r="5" customFormat="false" ht="15" hidden="false" customHeight="false" outlineLevel="0" collapsed="false">
      <c r="A5" s="29" t="n">
        <v>4</v>
      </c>
      <c r="B5" s="29"/>
      <c r="C5" s="29" t="n">
        <v>5</v>
      </c>
      <c r="D5" s="29" t="n">
        <v>6.5</v>
      </c>
      <c r="E5" s="29"/>
    </row>
    <row r="6" customFormat="false" ht="15" hidden="false" customHeight="false" outlineLevel="0" collapsed="false">
      <c r="A6" s="29" t="n">
        <v>5</v>
      </c>
      <c r="B6" s="29"/>
      <c r="C6" s="29" t="n">
        <v>3.5</v>
      </c>
      <c r="D6" s="29" t="n">
        <v>7.5</v>
      </c>
      <c r="E6" s="29"/>
    </row>
    <row r="7" customFormat="false" ht="15" hidden="false" customHeight="false" outlineLevel="0" collapsed="false">
      <c r="A7" s="29" t="n">
        <v>6</v>
      </c>
      <c r="B7" s="29"/>
      <c r="C7" s="29" t="n">
        <v>5.5</v>
      </c>
      <c r="D7" s="29" t="n">
        <v>6</v>
      </c>
      <c r="E7" s="29"/>
    </row>
    <row r="8" customFormat="false" ht="15" hidden="false" customHeight="false" outlineLevel="0" collapsed="false">
      <c r="A8" s="29" t="n">
        <v>7</v>
      </c>
      <c r="B8" s="29"/>
      <c r="C8" s="29" t="n">
        <v>3</v>
      </c>
      <c r="D8" s="29" t="n">
        <v>8</v>
      </c>
      <c r="E8" s="29"/>
    </row>
    <row r="9" customFormat="false" ht="15" hidden="false" customHeight="false" outlineLevel="0" collapsed="false">
      <c r="A9" s="29" t="n">
        <v>8</v>
      </c>
      <c r="B9" s="29"/>
      <c r="C9" s="29" t="n">
        <v>4</v>
      </c>
      <c r="D9" s="29" t="n">
        <v>7.5</v>
      </c>
      <c r="E9" s="29"/>
    </row>
    <row r="10" customFormat="false" ht="15" hidden="false" customHeight="false" outlineLevel="0" collapsed="false">
      <c r="A10" s="29" t="n">
        <v>9</v>
      </c>
      <c r="B10" s="29"/>
      <c r="C10" s="29" t="n">
        <v>5</v>
      </c>
      <c r="D10" s="29" t="n">
        <v>7</v>
      </c>
      <c r="E10" s="29"/>
    </row>
    <row r="11" customFormat="false" ht="15" hidden="false" customHeight="false" outlineLevel="0" collapsed="false">
      <c r="A11" s="29" t="n">
        <v>10</v>
      </c>
      <c r="B11" s="29"/>
      <c r="C11" s="29" t="n">
        <v>14</v>
      </c>
      <c r="D11" s="29" t="n">
        <v>7</v>
      </c>
      <c r="E11" s="29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2026-10-08T03:44:23Z</dcterms:created>
  <dc:creator>openpyxl</dc:creator>
  <dc:description/>
  <dc:language>en-US</dc:language>
  <cp:lastModifiedBy/>
  <dcterms:modified xsi:type="dcterms:W3CDTF">2026-10-08T03:44:23Z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