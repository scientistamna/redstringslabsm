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rands" sheetId="2" state="visible" r:id="rId4"/>
    <sheet name="Months" sheetId="3" state="visible" r:id="rId5"/>
    <sheet name="Charts" sheetId="4" state="visible" r:id="rId6"/>
    <sheet name="Your Turn" sheetId="5" state="visible" r:id="rId7"/>
    <sheet name="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<sst xmlns="http://schemas.openxmlformats.org/spreadsheetml/2006/main" count="72" uniqueCount="72">
  <si>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 xml:space="preserve">RED STRINGS LAB · CASE 02 · Charts That Lie — Starter Sheet</t>
  </si>
  <si>
    <t xml:space="preserve">Every dataset is hiding something.</t>
  </si>
  <si>
    <t xml:space="preserve">⚠ ALL data here is MADE UP for the video. No real brand, no real votes.</t>
  </si>
  <si>
    <t xml:space="preserve">TABS</t>
  </si>
  <si>
    <t xml:space="preserve">• Brands — four made-up phone brands and their votes (151 total).</t>
  </si>
  <si>
    <t xml:space="preserve">• Months — Brand A's made-up votes across 12 months.</t>
  </si>
  <si>
    <t xml:space="preserve">• Charts — four ready-made charts. Same numbers, different stories. Click a chart and open its axis settings to see which click lies.</t>
  </si>
  <si>
    <t xml:space="preserve">• Your Turn — your Chart-Lie Spotter log for the mission.</t>
  </si>
  <si>
    <t xml:space="preserve">• Answer Key — the maths behind each trick. Try it first.</t>
  </si>
  <si>
    <t xml:space="preserve">MISSION</t>
  </si>
  <si>
    <t xml:space="preserve">1. Rebuild the honest chart yourself from the Brands tab (axis starts at 0).</t>
  </si>
  <si>
    <t xml:space="preserve">2. Break it on purpose: change the axis start, then squeeze the shape, then pick a slice of the months.</t>
  </si>
  <si>
    <t xml:space="preserve">3. Find a real chart in the wild (a post, an article, an ad) and catch one trick. Log it in 'Your Turn'.</t>
  </si>
  <si>
    <t xml:space="preserve">4. Never share a chart that contains someone's personal details.</t>
  </si>
  <si>
    <t xml:space="preserve">Not affiliated with Google or any tool shown. Free to use for learning. Terms checked: [add date].</t>
  </si>
  <si>
    <t xml:space="preserve">Phone brand</t>
  </si>
  <si>
    <t xml:space="preserve">Votes</t>
  </si>
  <si>
    <t xml:space="preserve">Made-up survey: 'Which phone brand would you buy next?' Blue = typed-in inputs.</t>
  </si>
  <si>
    <t xml:space="preserve">Brand A</t>
  </si>
  <si>
    <t xml:space="preserve">Brand B</t>
  </si>
  <si>
    <t xml:space="preserve">Brand C</t>
  </si>
  <si>
    <t xml:space="preserve">Brand D</t>
  </si>
  <si>
    <t xml:space="preserve">Month</t>
  </si>
  <si>
    <t xml:space="preserve">Brand A votes</t>
  </si>
  <si>
    <t xml:space="preserve">Made-up monthly votes, separate from the Brands survey. Rows 4–7 (Mar–Jun) are the 'cherry-picked' slice.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</si>
  <si>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</si>
  <si>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</si>
  <si>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</si>
  <si>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</si>
  <si>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</si>
  <si>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</si>
  <si>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</si>
  <si>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</si>
  <si>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</si>
  <si>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</si>
  <si>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</si>
  <si>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</si>
  <si>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Same numbers. Different stories. Which chart is lying?</t>
  </si>
  <si>
    <t xml:space="preserve">Where I found the chart</t>
  </si>
  <si>
    <t xml:space="preserve">Which trick? (axis / shape / slice / other)</t>
  </si>
  <si>
    <t xml:space="preserve">What was hidden or exaggerated</t>
  </si>
  <si>
    <t xml:space="preserve">How I would redraw it honestly</t>
  </si>
  <si>
    <t xml:space="preserve">EXAMPLE: a bar chart in an ad</t>
  </si>
  <si>
    <t xml:space="preserve">axis</t>
  </si>
  <si>
    <t xml:space="preserve">Bars started at 90, so a 2% gap looked huge</t>
  </si>
  <si>
    <t xml:space="preserve">Start the axis at 0 and add the exact numbers</t>
  </si>
  <si>
    <t xml:space="preserve">Yellow = yours to fill. Delete the grey example row. Never include names, faces, or personal details from a screenshot.</t>
  </si>
  <si>
    <t xml:space="preserve">ANSWER KEY (made-up data) — try it yourself first</t>
  </si>
  <si>
    <t xml:space="preserve">What we calculate</t>
  </si>
  <si>
    <t xml:space="preserve">Result</t>
  </si>
  <si>
    <t xml:space="preserve">Why it matters</t>
  </si>
  <si>
    <t xml:space="preserve">Total votes</t>
  </si>
  <si>
    <t xml:space="preserve">151 votes</t>
  </si>
  <si>
    <t xml:space="preserve">Brand A share of votes</t>
  </si>
  <si>
    <t xml:space="preserve">Roughly a third. Not 'destroying' anyone</t>
  </si>
  <si>
    <t xml:space="preserve">Gap between A and B (votes)</t>
  </si>
  <si>
    <t xml:space="preserve">The honest gap is tiny</t>
  </si>
  <si>
    <t xml:space="preserve">Gap as % of Brand B</t>
  </si>
  <si>
    <t xml:space="preserve">4% on 151 votes could be pure chance</t>
  </si>
  <si>
    <t xml:space="preserve">Chart 1: A's bar ÷ B's bar (axis at 0)</t>
  </si>
  <si>
    <t xml:space="preserve">Honest picture: almost the same height</t>
  </si>
  <si>
    <t xml:space="preserve">Chart 2: A's bar ÷ B's bar (axis at 48)</t>
  </si>
  <si>
    <t xml:space="preserve">Cut axis: A looks TWICE as tall. Same data</t>
  </si>
  <si>
    <t xml:space="preserve">Brand A change Mar→Jun</t>
  </si>
  <si>
    <t xml:space="preserve">The slice a salesperson would show</t>
  </si>
  <si>
    <t xml:space="preserve">Brand A change Jan→Dec</t>
  </si>
  <si>
    <t xml:space="preserve">The full-year story</t>
  </si>
  <si>
    <t xml:space="preserve">Brand A peak month votes</t>
  </si>
  <si>
    <t xml:space="preserve">Peak is June</t>
  </si>
  <si>
    <t xml:space="preserve">Drop from peak to December</t>
  </si>
  <si>
    <t xml:space="preserve">What the slice hides</t>
  </si>
  <si>
    <t xml:space="preserve">Reminder: the numbers never changed. Only the axis, the shape, and the slice did.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</si>
</sst>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14213D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11"/>
      <color rgb="FFB000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1) Honest: all brands, axis starts at 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Brands!B1</c:f>
              <c:strCache>
                <c:ptCount val="1"/>
                <c:pt idx="0">
                  <c:v>Votes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Brands!$A$2:$A$5</c:f>
              <c:strCache>
                <c:ptCount val="4"/>
                <c:pt idx="0">
                  <c:v>Brand A</c:v>
                </c:pt>
                <c:pt idx="1">
                  <c:v>Brand B</c:v>
                </c:pt>
                <c:pt idx="2">
                  <c:v>Brand C</c:v>
                </c:pt>
                <c:pt idx="3">
                  <c:v>Brand D</c:v>
                </c:pt>
              </c:strCache>
            </c:strRef>
          </c:cat>
          <c:val>
            <c:numRef>
              <c:f>Brands!$B$2:$B$5</c:f>
              <c:numCache>
                <c:formatCode>General</c:formatCode>
                <c:ptCount val="4"/>
                <c:pt idx="0">
                  <c:v>52</c:v>
                </c:pt>
                <c:pt idx="1">
                  <c:v>50</c:v>
                </c:pt>
                <c:pt idx="2">
                  <c:v>31</c:v>
                </c:pt>
                <c:pt idx="3">
                  <c:v>18</c:v>
                </c:pt>
              </c:numCache>
            </c:numRef>
          </c:val>
        </c:ser>
        <c:gapWidth val="150"/>
        <c:overlap val="0"/>
        <c:axId val="21748946"/>
        <c:axId val="5800880"/>
      </c:barChart>
      <c:catAx>
        <c:axId val="217489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0880"/>
        <c:crosses val="autoZero"/>
        <c:auto val="1"/>
        <c:lblAlgn val="ctr"/>
        <c:lblOffset val="100"/>
        <c:noMultiLvlLbl val="0"/>
      </c:catAx>
      <c:valAx>
        <c:axId val="580088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48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2) Trick: A vs B, axis starts at 48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Brands!B1</c:f>
              <c:strCache>
                <c:ptCount val="1"/>
                <c:pt idx="0">
                  <c:v>Votes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Brands!$A$2:$A$3</c:f>
              <c:strCache>
                <c:ptCount val="2"/>
                <c:pt idx="0">
                  <c:v>Brand A</c:v>
                </c:pt>
                <c:pt idx="1">
                  <c:v>Brand B</c:v>
                </c:pt>
              </c:strCache>
            </c:strRef>
          </c:cat>
          <c:val>
            <c:numRef>
              <c:f>Brands!$B$2:$B$3</c:f>
              <c:numCache>
                <c:formatCode>General</c:formatCode>
                <c:ptCount val="2"/>
                <c:pt idx="0">
                  <c:v>52</c:v>
                </c:pt>
                <c:pt idx="1">
                  <c:v>50</c:v>
                </c:pt>
              </c:numCache>
            </c:numRef>
          </c:val>
        </c:ser>
        <c:gapWidth val="150"/>
        <c:overlap val="0"/>
        <c:axId val="3470423"/>
        <c:axId val="69084583"/>
      </c:barChart>
      <c:catAx>
        <c:axId val="3470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84583"/>
        <c:crosses val="autoZero"/>
        <c:auto val="1"/>
        <c:lblAlgn val="ctr"/>
        <c:lblOffset val="100"/>
        <c:noMultiLvlLbl val="0"/>
      </c:catAx>
      <c:valAx>
        <c:axId val="69084583"/>
        <c:scaling>
          <c:orientation val="minMax"/>
          <c:max val="53"/>
          <c:min val="4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04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3) Honest: Brand A, full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Months!B1</c:f>
              <c:strCache>
                <c:ptCount val="1"/>
                <c:pt idx="0">
                  <c:v>Brand A votes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Months!$B$2:$B$13</c:f>
              <c:numCache>
                <c:formatCode>General</c:formatCode>
                <c:ptCount val="12"/>
                <c:pt idx="0">
                  <c:v>30</c:v>
                </c:pt>
                <c:pt idx="1">
                  <c:v>33</c:v>
                </c:pt>
                <c:pt idx="2">
                  <c:v>36</c:v>
                </c:pt>
                <c:pt idx="3">
                  <c:v>42</c:v>
                </c:pt>
                <c:pt idx="4">
                  <c:v>48</c:v>
                </c:pt>
                <c:pt idx="5">
                  <c:v>52</c:v>
                </c:pt>
                <c:pt idx="6">
                  <c:v>49</c:v>
                </c:pt>
                <c:pt idx="7">
                  <c:v>41</c:v>
                </c:pt>
                <c:pt idx="8">
                  <c:v>33</c:v>
                </c:pt>
                <c:pt idx="9">
                  <c:v>26</c:v>
                </c:pt>
                <c:pt idx="10">
                  <c:v>21</c:v>
                </c:pt>
                <c:pt idx="11">
                  <c:v>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293834"/>
        <c:axId val="15618315"/>
      </c:lineChart>
      <c:catAx>
        <c:axId val="89293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18315"/>
        <c:crosses val="autoZero"/>
        <c:auto val="1"/>
        <c:lblAlgn val="ctr"/>
        <c:lblOffset val="100"/>
        <c:noMultiLvlLbl val="0"/>
      </c:catAx>
      <c:valAx>
        <c:axId val="1561831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938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4) Trick: Brand A, Mar–Jun only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Months!$A$4:$A$7</c:f>
              <c:strCache>
                <c:ptCount val="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</c:strCache>
            </c:strRef>
          </c:cat>
          <c:val>
            <c:numRef>
              <c:f>Months!$B$4:$B$7</c:f>
              <c:numCache>
                <c:formatCode>General</c:formatCode>
                <c:ptCount val="4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756571"/>
        <c:axId val="32153345"/>
      </c:lineChart>
      <c:catAx>
        <c:axId val="71756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53345"/>
        <c:crosses val="autoZero"/>
        <c:auto val="1"/>
        <c:lblAlgn val="ctr"/>
        <c:lblOffset val="100"/>
        <c:noMultiLvlLbl val="0"/>
      </c:catAx>
      <c:valAx>
        <c:axId val="32153345"/>
        <c:scaling>
          <c:orientation val="minMax"/>
          <c:min val="3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565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255960</xdr:colOff>
      <xdr:row>16</xdr:row>
      <xdr:rowOff>182520</xdr:rowOff>
    </xdr:to>
    <xdr:graphicFrame>
      <xdr:nvGraphicFramePr>
        <xdr:cNvPr id="1" name="Chart 2"/>
        <xdr:cNvGraphicFramePr/>
      </xdr:nvGraphicFramePr>
      <xdr:xfrm>
        <a:off x="61149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255960</xdr:colOff>
      <xdr:row>34</xdr:row>
      <xdr:rowOff>182520</xdr:rowOff>
    </xdr:to>
    <xdr:graphicFrame>
      <xdr:nvGraphicFramePr>
        <xdr:cNvPr id="2" name="Chart 3"/>
        <xdr:cNvGraphicFramePr/>
      </xdr:nvGraphicFramePr>
      <xdr:xfrm>
        <a:off x="0" y="3809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19</xdr:col>
      <xdr:colOff>255960</xdr:colOff>
      <xdr:row>34</xdr:row>
      <xdr:rowOff>182520</xdr:rowOff>
    </xdr:to>
    <xdr:graphicFrame>
      <xdr:nvGraphicFramePr>
        <xdr:cNvPr id="3" name="Chart 4"/>
        <xdr:cNvGraphicFramePr/>
      </xdr:nvGraphicFramePr>
      <xdr:xfrm>
        <a:off x="6114960" y="3809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5" t="s">
        <v>3</v>
      </c>
    </row>
    <row r="8" customFormat="false" ht="15" hidden="false" customHeight="false" outlineLevel="0" collapsed="false">
      <c r="B8" s="6" t="s">
        <v>4</v>
      </c>
    </row>
    <row r="9" customFormat="false" ht="15" hidden="false" customHeight="false" outlineLevel="0" collapsed="false">
      <c r="B9" s="6" t="s">
        <v>5</v>
      </c>
    </row>
    <row r="10" customFormat="false" ht="26.85" hidden="false" customHeight="false" outlineLevel="0" collapsed="false">
      <c r="B10" s="6" t="s">
        <v>6</v>
      </c>
    </row>
    <row r="11" customFormat="false" ht="15" hidden="false" customHeight="false" outlineLevel="0" collapsed="false">
      <c r="B11" s="6" t="s">
        <v>7</v>
      </c>
    </row>
    <row r="12" customFormat="false" ht="15" hidden="false" customHeight="false" outlineLevel="0" collapsed="false">
      <c r="B12" s="6" t="s">
        <v>8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5" t="s">
        <v>9</v>
      </c>
    </row>
    <row r="15" customFormat="false" ht="15" hidden="false" customHeight="false" outlineLevel="0" collapsed="false">
      <c r="B15" s="6" t="s">
        <v>10</v>
      </c>
    </row>
    <row r="16" customFormat="false" ht="15" hidden="false" customHeight="false" outlineLevel="0" collapsed="false">
      <c r="B16" s="6" t="s">
        <v>11</v>
      </c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8" t="s">
        <v>15</v>
      </c>
      <c r="B1" s="8" t="s">
        <v>16</v>
      </c>
      <c r="D1" s="9" t="s">
        <v>17</v>
      </c>
    </row>
    <row r="2" customFormat="false" ht="15" hidden="false" customHeight="false" outlineLevel="0" collapsed="false">
      <c r="A2" s="10" t="s">
        <v>18</v>
      </c>
      <c r="B2" s="11" t="n">
        <v>52</v>
      </c>
    </row>
    <row r="3" customFormat="false" ht="15" hidden="false" customHeight="false" outlineLevel="0" collapsed="false">
      <c r="A3" s="10" t="s">
        <v>19</v>
      </c>
      <c r="B3" s="11" t="n">
        <v>50</v>
      </c>
    </row>
    <row r="4" customFormat="false" ht="15" hidden="false" customHeight="false" outlineLevel="0" collapsed="false">
      <c r="A4" s="10" t="s">
        <v>20</v>
      </c>
      <c r="B4" s="11" t="n">
        <v>31</v>
      </c>
    </row>
    <row r="5" customFormat="false" ht="15" hidden="false" customHeight="false" outlineLevel="0" collapsed="false">
      <c r="A5" s="10" t="s">
        <v>21</v>
      </c>
      <c r="B5" s="11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8" t="s">
        <v>22</v>
      </c>
      <c r="B1" s="8" t="s">
        <v>23</v>
      </c>
      <c r="D1" s="9" t="s">
        <v>24</v>
      </c>
    </row>
    <row r="2" customFormat="false" ht="15" hidden="false" customHeight="false" outlineLevel="0" collapsed="false">
      <c r="A2" s="10" t="s">
        <v>25</v>
      </c>
      <c r="B2" s="11" t="n">
        <v>30</v>
      </c>
    </row>
    <row r="3" customFormat="false" ht="15" hidden="false" customHeight="false" outlineLevel="0" collapsed="false">
      <c r="A3" s="10" t="s">
        <v>26</v>
      </c>
      <c r="B3" s="11" t="n">
        <v>33</v>
      </c>
    </row>
    <row r="4" customFormat="false" ht="15" hidden="false" customHeight="false" outlineLevel="0" collapsed="false">
      <c r="A4" s="10" t="s">
        <v>27</v>
      </c>
      <c r="B4" s="11" t="n">
        <v>36</v>
      </c>
    </row>
    <row r="5" customFormat="false" ht="15" hidden="false" customHeight="false" outlineLevel="0" collapsed="false">
      <c r="A5" s="10" t="s">
        <v>28</v>
      </c>
      <c r="B5" s="11" t="n">
        <v>42</v>
      </c>
    </row>
    <row r="6" customFormat="false" ht="15" hidden="false" customHeight="false" outlineLevel="0" collapsed="false">
      <c r="A6" s="10" t="s">
        <v>29</v>
      </c>
      <c r="B6" s="11" t="n">
        <v>48</v>
      </c>
    </row>
    <row r="7" customFormat="false" ht="15" hidden="false" customHeight="false" outlineLevel="0" collapsed="false">
      <c r="A7" s="10" t="s">
        <v>30</v>
      </c>
      <c r="B7" s="11" t="n">
        <v>52</v>
      </c>
    </row>
    <row r="8" customFormat="false" ht="15" hidden="false" customHeight="false" outlineLevel="0" collapsed="false">
      <c r="A8" s="10" t="s">
        <v>31</v>
      </c>
      <c r="B8" s="11" t="n">
        <v>49</v>
      </c>
    </row>
    <row r="9" customFormat="false" ht="15" hidden="false" customHeight="false" outlineLevel="0" collapsed="false">
      <c r="A9" s="10" t="s">
        <v>32</v>
      </c>
      <c r="B9" s="11" t="n">
        <v>41</v>
      </c>
    </row>
    <row r="10" customFormat="false" ht="15" hidden="false" customHeight="false" outlineLevel="0" collapsed="false">
      <c r="A10" s="10" t="s">
        <v>33</v>
      </c>
      <c r="B10" s="11" t="n">
        <v>33</v>
      </c>
    </row>
    <row r="11" customFormat="false" ht="15" hidden="false" customHeight="false" outlineLevel="0" collapsed="false">
      <c r="A11" s="10" t="s">
        <v>34</v>
      </c>
      <c r="B11" s="11" t="n">
        <v>26</v>
      </c>
    </row>
    <row r="12" customFormat="false" ht="15" hidden="false" customHeight="false" outlineLevel="0" collapsed="false">
      <c r="A12" s="10" t="s">
        <v>35</v>
      </c>
      <c r="B12" s="11" t="n">
        <v>21</v>
      </c>
    </row>
    <row r="13" customFormat="false" ht="15" hidden="false" customHeight="false" outlineLevel="0" collapsed="false">
      <c r="A13" s="10" t="s">
        <v>36</v>
      </c>
      <c r="B13" s="11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40"/>
  </cols>
  <sheetData>
    <row r="1" customFormat="false" ht="36" hidden="false" customHeight="true" outlineLevel="0" collapsed="false">
      <c r="A1" s="8" t="s">
        <v>38</v>
      </c>
      <c r="B1" s="8" t="s">
        <v>39</v>
      </c>
      <c r="C1" s="8" t="s">
        <v>40</v>
      </c>
      <c r="D1" s="8" t="s">
        <v>41</v>
      </c>
    </row>
    <row r="2" customFormat="false" ht="26.85" hidden="false" customHeight="false" outlineLevel="0" collapsed="false">
      <c r="A2" s="13" t="s">
        <v>42</v>
      </c>
      <c r="B2" s="13" t="s">
        <v>43</v>
      </c>
      <c r="C2" s="13" t="s">
        <v>44</v>
      </c>
      <c r="D2" s="13" t="s">
        <v>45</v>
      </c>
    </row>
    <row r="3" customFormat="false" ht="15" hidden="false" customHeight="false" outlineLevel="0" collapsed="false">
      <c r="A3" s="14"/>
      <c r="B3" s="14"/>
      <c r="C3" s="14"/>
      <c r="D3" s="14"/>
    </row>
    <row r="4" customFormat="false" ht="15" hidden="false" customHeight="false" outlineLevel="0" collapsed="false">
      <c r="A4" s="14"/>
      <c r="B4" s="14"/>
      <c r="C4" s="14"/>
      <c r="D4" s="14"/>
    </row>
    <row r="5" customFormat="false" ht="15" hidden="false" customHeight="false" outlineLevel="0" collapsed="false">
      <c r="A5" s="14"/>
      <c r="B5" s="14"/>
      <c r="C5" s="14"/>
      <c r="D5" s="14"/>
    </row>
    <row r="6" customFormat="false" ht="15" hidden="false" customHeight="false" outlineLevel="0" collapsed="false">
      <c r="A6" s="14"/>
      <c r="B6" s="14"/>
      <c r="C6" s="14"/>
      <c r="D6" s="14"/>
    </row>
    <row r="7" customFormat="false" ht="15" hidden="false" customHeight="false" outlineLevel="0" collapsed="false">
      <c r="A7" s="14"/>
      <c r="B7" s="14"/>
      <c r="C7" s="14"/>
      <c r="D7" s="14"/>
    </row>
    <row r="8" customFormat="false" ht="15" hidden="false" customHeight="false" outlineLevel="0" collapsed="false">
      <c r="A8" s="14"/>
      <c r="B8" s="14"/>
      <c r="C8" s="14"/>
      <c r="D8" s="14"/>
    </row>
    <row r="10" customFormat="false" ht="15" hidden="false" customHeight="false" outlineLevel="0" collapsed="false">
      <c r="A10" s="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5" t="s">
        <v>47</v>
      </c>
    </row>
    <row r="3" customFormat="false" ht="15" hidden="false" customHeight="false" outlineLevel="0" collapsed="false">
      <c r="A3" s="8" t="s">
        <v>48</v>
      </c>
      <c r="B3" s="8" t="s">
        <v>49</v>
      </c>
      <c r="C3" s="8" t="s">
        <v>50</v>
      </c>
    </row>
    <row r="4" customFormat="false" ht="15" hidden="false" customHeight="false" outlineLevel="0" collapsed="false">
      <c r="A4" s="10" t="s">
        <v>51</v>
      </c>
      <c r="B4" s="16" t="n">
        <f aca="false">SUM(Brands!B2:B5)</f>
        <v>151</v>
      </c>
      <c r="C4" s="17" t="s">
        <v>52</v>
      </c>
    </row>
    <row r="5" customFormat="false" ht="15" hidden="false" customHeight="false" outlineLevel="0" collapsed="false">
      <c r="A5" s="10" t="s">
        <v>53</v>
      </c>
      <c r="B5" s="18" t="n">
        <f aca="false">Brands!B2/SUM(Brands!B2:B5)</f>
        <v>0.344370860927152</v>
      </c>
      <c r="C5" s="17" t="s">
        <v>54</v>
      </c>
    </row>
    <row r="6" customFormat="false" ht="15" hidden="false" customHeight="false" outlineLevel="0" collapsed="false">
      <c r="A6" s="10" t="s">
        <v>55</v>
      </c>
      <c r="B6" s="16" t="n">
        <f aca="false">Brands!B2-Brands!B3</f>
        <v>2</v>
      </c>
      <c r="C6" s="17" t="s">
        <v>56</v>
      </c>
    </row>
    <row r="7" customFormat="false" ht="15" hidden="false" customHeight="false" outlineLevel="0" collapsed="false">
      <c r="A7" s="10" t="s">
        <v>57</v>
      </c>
      <c r="B7" s="18" t="n">
        <f aca="false">(Brands!B2-Brands!B3)/Brands!B3</f>
        <v>0.04</v>
      </c>
      <c r="C7" s="17" t="s">
        <v>58</v>
      </c>
    </row>
    <row r="8" customFormat="false" ht="15" hidden="false" customHeight="false" outlineLevel="0" collapsed="false">
      <c r="A8" s="10" t="s">
        <v>59</v>
      </c>
      <c r="B8" s="19" t="n">
        <f aca="false">Brands!B2/Brands!B3</f>
        <v>1.04</v>
      </c>
      <c r="C8" s="17" t="s">
        <v>60</v>
      </c>
    </row>
    <row r="9" customFormat="false" ht="15" hidden="false" customHeight="false" outlineLevel="0" collapsed="false">
      <c r="A9" s="10" t="s">
        <v>61</v>
      </c>
      <c r="B9" s="19" t="n">
        <f aca="false">(Brands!B2-48)/(Brands!B3-48)</f>
        <v>2</v>
      </c>
      <c r="C9" s="17" t="s">
        <v>62</v>
      </c>
    </row>
    <row r="10" customFormat="false" ht="15" hidden="false" customHeight="false" outlineLevel="0" collapsed="false">
      <c r="A10" s="10" t="s">
        <v>63</v>
      </c>
      <c r="B10" s="18" t="n">
        <f aca="false">(Months!B7-Months!B4)/Months!B4</f>
        <v>0.444444444444444</v>
      </c>
      <c r="C10" s="17" t="s">
        <v>64</v>
      </c>
    </row>
    <row r="11" customFormat="false" ht="15" hidden="false" customHeight="false" outlineLevel="0" collapsed="false">
      <c r="A11" s="10" t="s">
        <v>65</v>
      </c>
      <c r="B11" s="18" t="n">
        <f aca="false">(Months!B13-Months!B2)/Months!B2</f>
        <v>-0.4</v>
      </c>
      <c r="C11" s="17" t="s">
        <v>66</v>
      </c>
    </row>
    <row r="12" customFormat="false" ht="15" hidden="false" customHeight="false" outlineLevel="0" collapsed="false">
      <c r="A12" s="10" t="s">
        <v>67</v>
      </c>
      <c r="B12" s="16" t="n">
        <f aca="false">MAX(Months!B2:B13)</f>
        <v>52</v>
      </c>
      <c r="C12" s="17" t="s">
        <v>68</v>
      </c>
    </row>
    <row r="13" customFormat="false" ht="15" hidden="false" customHeight="false" outlineLevel="0" collapsed="false">
      <c r="A13" s="10" t="s">
        <v>69</v>
      </c>
      <c r="B13" s="18" t="n">
        <f aca="false">(Months!B13-MAX(Months!B2:B13))/MAX(Months!B2:B13)</f>
        <v>-0.653846153846154</v>
      </c>
      <c r="C13" s="17" t="s">
        <v>70</v>
      </c>
    </row>
    <row r="15" customFormat="false" ht="15" hidden="false" customHeight="false" outlineLevel="0" collapsed="false">
      <c r="A15" s="2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2026-10-01T10:17:15Z</dcterms:created>
  <dc:creator>openpyxl</dc:creator>
  <dc:description/>
  <dc:language>en-US</dc:language>
  <cp:lastModifiedBy/>
  <dcterms:modified xsi:type="dcterms:W3CDTF">2026-10-01T10:17:17Z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