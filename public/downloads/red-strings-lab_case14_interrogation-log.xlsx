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terrogation Log" sheetId="2" state="visible" r:id="rId4"/>
    <sheet name="Summary" sheetId="3" state="visible" r:id="rId5"/>
    <sheet name="Example Log" sheetId="4" state="visible" r:id="rId6"/>
    <sheet name="Example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<sst xmlns="http://schemas.openxmlformats.org/spreadsheetml/2006/main" count="173" uniqueCount="99">
  <si>
    <t xml:space="preserve">RED STRINGS LAB · CASE 14 · Interrogate the Chatbot — Interrogation Log</t>
  </si>
  <si>
    <t xml:space="preserve">Every dataset is hiding something.</t>
  </si>
  <si>
    <t xml:space="preserve">Confidence is not evidence. This log trains you to check any claim, from a chatbot, a social post, an article or a person.</t>
  </si>
  <si>
    <t xml:space="preserve">⚠ The 'Example' tabs use ILLUSTRATIVE claims and a made-up 'Chatbot A'. They are NOT a test of any real chatbot.</t>
  </si>
  <si>
    <t xml:space="preserve">THE FIVE QUESTIONS (one row per claim)</t>
  </si>
  <si>
    <t xml:space="preserve">1. Where did the claim come from, and did it give a source?</t>
  </si>
  <si>
    <t xml:space="preserve">2. Does that source EXIST, and does it really say that? (Open it. Don't take the chatbot's word for it.)</t>
  </si>
  <si>
    <t xml:space="preserve">3. LATERAL READING: leave the page. What do two independent sources say?</t>
  </si>
  <si>
    <t xml:space="preserve">4. Ask again, in different words. Does the answer stay the same?</t>
  </si>
  <si>
    <t xml:space="preserve">5. Pressure test: 'Are you sure?' Does it hold, or flip? (Flipping tells you about the tool, not about the truth.)</t>
  </si>
  <si>
    <t xml:space="preserve">RULES</t>
  </si>
  <si>
    <t xml:space="preserve">1. Check the age rules and terms of any chatbot BEFORE you use it. They differ, and some require an adult. If you can't use one, interrogate a social post, article or person instead. The method is the same.</t>
  </si>
  <si>
    <t xml:space="preserve">2. Never type personal details, school names, photos or other people's information into a chatbot.</t>
  </si>
  <si>
    <t xml:space="preserve">3. Asking a chatbot to check its own answer is not checking. Use sources outside it.</t>
  </si>
  <si>
    <t xml:space="preserve">4. Pick harmless topics. No health, legal or safety decisions based on a chatbot alone.</t>
  </si>
  <si>
    <t xml:space="preserve">Not affiliated with any chatbot or company. Free to use for learning. Terms checked: [add date].</t>
  </si>
  <si>
    <t xml:space="preserve">#</t>
  </si>
  <si>
    <t xml:space="preserve">Claim (short)</t>
  </si>
  <si>
    <t xml:space="preserve">Where it came from</t>
  </si>
  <si>
    <t xml:space="preserve">Source it gave</t>
  </si>
  <si>
    <t xml:space="preserve">Source exists?</t>
  </si>
  <si>
    <t xml:space="preserve">Source really says that?</t>
  </si>
  <si>
    <t xml:space="preserve">Independent source 1</t>
  </si>
  <si>
    <t xml:space="preserve">Independent source 2</t>
  </si>
  <si>
    <t xml:space="preserve">Verdict</t>
  </si>
  <si>
    <t xml:space="preserve">Ask again: same answer?</t>
  </si>
  <si>
    <t xml:space="preserve">'Are you sure?'</t>
  </si>
  <si>
    <t xml:space="preserve">Notes</t>
  </si>
  <si>
    <t xml:space="preserve">Rows 2 to 31 (30 claims). Yellow = yours to fill. Use the dropdowns.</t>
  </si>
  <si>
    <t xml:space="preserve">SUMMARY (yours)</t>
  </si>
  <si>
    <t xml:space="preserve">What we calculate</t>
  </si>
  <si>
    <t xml:space="preserve">Result</t>
  </si>
  <si>
    <t xml:space="preserve">Claims checked</t>
  </si>
  <si>
    <t xml:space="preserve">Gave a source (exists or not)</t>
  </si>
  <si>
    <t xml:space="preserve">Sources that EXIST</t>
  </si>
  <si>
    <t xml:space="preserve">Existing sources that REALLY say it</t>
  </si>
  <si>
    <t xml:space="preserve">Answer changed when asked again</t>
  </si>
  <si>
    <t xml:space="preserve">Flipped when asked 'Are you sure?'</t>
  </si>
  <si>
    <t xml:space="preserve">VERDICT BY WHERE THE CLAIM CAME FROM</t>
  </si>
  <si>
    <t xml:space="preserve">Origin</t>
  </si>
  <si>
    <t xml:space="preserve">Supported</t>
  </si>
  <si>
    <t xml:space="preserve">Not supported</t>
  </si>
  <si>
    <t xml:space="preserve">Mixed</t>
  </si>
  <si>
    <t xml:space="preserve">Can't tell</t>
  </si>
  <si>
    <t xml:space="preserve">Total</t>
  </si>
  <si>
    <t xml:space="preserve">Chatbot</t>
  </si>
  <si>
    <t xml:space="preserve">Social post</t>
  </si>
  <si>
    <t xml:space="preserve">Article</t>
  </si>
  <si>
    <t xml:space="preserve">Person</t>
  </si>
  <si>
    <t xml:space="preserve">Other</t>
  </si>
  <si>
    <t xml:space="preserve">Reminder: confidence is not evidence. A source that does not exist, or does not say it, is a red flag.</t>
  </si>
  <si>
    <t xml:space="preserve">ILLUSTRATIVE EXAMPLE. Not a test of any real chatbot.</t>
  </si>
  <si>
    <t xml:space="preserve">Water boils at 100 °C at sea level</t>
  </si>
  <si>
    <t xml:space="preserve">No source given</t>
  </si>
  <si>
    <t xml:space="preserve">No source</t>
  </si>
  <si>
    <t xml:space="preserve">—</t>
  </si>
  <si>
    <t xml:space="preserve">School science textbook</t>
  </si>
  <si>
    <t xml:space="preserve">Encyclopedia</t>
  </si>
  <si>
    <t xml:space="preserve">Same</t>
  </si>
  <si>
    <t xml:space="preserve">Held</t>
  </si>
  <si>
    <t xml:space="preserve">Illustrative</t>
  </si>
  <si>
    <t xml:space="preserve">Humans use only 10% of their brains</t>
  </si>
  <si>
    <t xml:space="preserve">None</t>
  </si>
  <si>
    <t xml:space="preserve">Neuroscience article</t>
  </si>
  <si>
    <t xml:space="preserve">University page</t>
  </si>
  <si>
    <t xml:space="preserve">Not asked</t>
  </si>
  <si>
    <t xml:space="preserve">A common myth</t>
  </si>
  <si>
    <t xml:space="preserve">A 2019 study in 'Journal of Imaginary Results' proves the claim</t>
  </si>
  <si>
    <t xml:space="preserve">Journal of Imaginary Results (made up)</t>
  </si>
  <si>
    <t xml:space="preserve">No</t>
  </si>
  <si>
    <t xml:space="preserve">Couldn't check</t>
  </si>
  <si>
    <t xml:space="preserve">Searched journal list</t>
  </si>
  <si>
    <t xml:space="preserve">Library search</t>
  </si>
  <si>
    <t xml:space="preserve">Different</t>
  </si>
  <si>
    <t xml:space="preserve">Flipped</t>
  </si>
  <si>
    <t xml:space="preserve">Source does not exist</t>
  </si>
  <si>
    <t xml:space="preserve">Annual report says sales tripled</t>
  </si>
  <si>
    <t xml:space="preserve">Annual Report 20XX (made up)</t>
  </si>
  <si>
    <t xml:space="preserve">Yes</t>
  </si>
  <si>
    <t xml:space="preserve">Company site</t>
  </si>
  <si>
    <t xml:space="preserve">News coverage</t>
  </si>
  <si>
    <t xml:space="preserve">Report exists but says 'rose 5%'</t>
  </si>
  <si>
    <t xml:space="preserve">The town has 1,000 students (imaginary town)</t>
  </si>
  <si>
    <t xml:space="preserve">None findable</t>
  </si>
  <si>
    <t xml:space="preserve">Imaginary, nothing to check</t>
  </si>
  <si>
    <t xml:space="preserve">A medicine is 'completely safe'</t>
  </si>
  <si>
    <t xml:space="preserve">Press release</t>
  </si>
  <si>
    <t xml:space="preserve">Partly</t>
  </si>
  <si>
    <t xml:space="preserve">Official health agency</t>
  </si>
  <si>
    <t xml:space="preserve">Medical reference</t>
  </si>
  <si>
    <t xml:space="preserve">Real source, claim stretched</t>
  </si>
  <si>
    <t xml:space="preserve">Plants grow faster with classical music</t>
  </si>
  <si>
    <t xml:space="preserve">Unnamed study</t>
  </si>
  <si>
    <t xml:space="preserve">Science site</t>
  </si>
  <si>
    <t xml:space="preserve">Teacher's guide</t>
  </si>
  <si>
    <t xml:space="preserve">Evidence weak and mixed</t>
  </si>
  <si>
    <t xml:space="preserve">Light travels faster than sound</t>
  </si>
  <si>
    <t xml:space="preserve">Physics textbook</t>
  </si>
  <si>
    <t xml:space="preserve">SUMMARY (ILLUSTRATIVE EXAMPLE)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</si>
</sst>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213D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B00020"/>
      <name val="Arial"/>
      <family val="0"/>
      <charset val="1"/>
    </font>
    <font>
      <b val="true"/>
      <sz val="12"/>
      <color rgb="FF14213D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14213D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4213D"/>
      <name val="Arial"/>
      <family val="0"/>
      <charset val="1"/>
    </font>
    <font>
      <i val="true"/>
      <sz val="11"/>
      <color rgb="FFB0002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9"/>
      <color rgb="FFB00020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Verdicts by origin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Summary!B12</c:f>
              <c:strCache>
                <c:ptCount val="1"/>
                <c:pt idx="0">
                  <c:v>Supported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Summary!$A$13:$A$17</c:f>
              <c:strCache>
                <c:ptCount val="5"/>
                <c:pt idx="0">
                  <c:v>Chatbot</c:v>
                </c:pt>
                <c:pt idx="1">
                  <c:v>Social post</c:v>
                </c:pt>
                <c:pt idx="2">
                  <c:v>Article</c:v>
                </c:pt>
                <c:pt idx="3">
                  <c:v>Person</c:v>
                </c:pt>
                <c:pt idx="4">
                  <c:v>Other</c:v>
                </c:pt>
              </c:strCache>
            </c:strRef>
          </c:cat>
          <c:val>
            <c:numRef>
              <c:f>Summary!$B$13:$B$17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Summary!C12</c:f>
              <c:strCache>
                <c:ptCount val="1"/>
                <c:pt idx="0">
                  <c:v>Not supported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Summary!$A$13:$A$17</c:f>
              <c:strCache>
                <c:ptCount val="5"/>
                <c:pt idx="0">
                  <c:v>Chatbot</c:v>
                </c:pt>
                <c:pt idx="1">
                  <c:v>Social post</c:v>
                </c:pt>
                <c:pt idx="2">
                  <c:v>Article</c:v>
                </c:pt>
                <c:pt idx="3">
                  <c:v>Person</c:v>
                </c:pt>
                <c:pt idx="4">
                  <c:v>Other</c:v>
                </c:pt>
              </c:strCache>
            </c:strRef>
          </c:cat>
          <c:val>
            <c:numRef>
              <c:f>Summary!$C$13:$C$17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Summary!D12</c:f>
              <c:strCache>
                <c:ptCount val="1"/>
                <c:pt idx="0">
                  <c:v>Mixed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Summary!$A$13:$A$17</c:f>
              <c:strCache>
                <c:ptCount val="5"/>
                <c:pt idx="0">
                  <c:v>Chatbot</c:v>
                </c:pt>
                <c:pt idx="1">
                  <c:v>Social post</c:v>
                </c:pt>
                <c:pt idx="2">
                  <c:v>Article</c:v>
                </c:pt>
                <c:pt idx="3">
                  <c:v>Person</c:v>
                </c:pt>
                <c:pt idx="4">
                  <c:v>Other</c:v>
                </c:pt>
              </c:strCache>
            </c:strRef>
          </c:cat>
          <c:val>
            <c:numRef>
              <c:f>Summary!$D$13:$D$17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Summary!E12</c:f>
              <c:strCache>
                <c:ptCount val="1"/>
                <c:pt idx="0">
                  <c:v>Can't tell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Summary!$A$13:$A$17</c:f>
              <c:strCache>
                <c:ptCount val="5"/>
                <c:pt idx="0">
                  <c:v>Chatbot</c:v>
                </c:pt>
                <c:pt idx="1">
                  <c:v>Social post</c:v>
                </c:pt>
                <c:pt idx="2">
                  <c:v>Article</c:v>
                </c:pt>
                <c:pt idx="3">
                  <c:v>Person</c:v>
                </c:pt>
                <c:pt idx="4">
                  <c:v>Other</c:v>
                </c:pt>
              </c:strCache>
            </c:strRef>
          </c:cat>
          <c:val>
            <c:numRef>
              <c:f>Summary!$E$13:$E$17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100"/>
        <c:axId val="54420049"/>
        <c:axId val="95324381"/>
      </c:barChart>
      <c:catAx>
        <c:axId val="544200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324381"/>
        <c:crosses val="autoZero"/>
        <c:auto val="1"/>
        <c:lblAlgn val="ctr"/>
        <c:lblOffset val="100"/>
        <c:noMultiLvlLbl val="0"/>
      </c:catAx>
      <c:valAx>
        <c:axId val="9532438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4200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Verdicts by origin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'Example Summary'!B12</c:f>
              <c:strCache>
                <c:ptCount val="1"/>
                <c:pt idx="0">
                  <c:v>Supported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'Example Summary'!$A$13:$A$17</c:f>
              <c:strCache>
                <c:ptCount val="5"/>
                <c:pt idx="0">
                  <c:v>Chatbot</c:v>
                </c:pt>
                <c:pt idx="1">
                  <c:v>Social post</c:v>
                </c:pt>
                <c:pt idx="2">
                  <c:v>Article</c:v>
                </c:pt>
                <c:pt idx="3">
                  <c:v>Person</c:v>
                </c:pt>
                <c:pt idx="4">
                  <c:v>Other</c:v>
                </c:pt>
              </c:strCache>
            </c:strRef>
          </c:cat>
          <c:val>
            <c:numRef>
              <c:f>'Example Summary'!$B$13:$B$17</c:f>
              <c:numCache>
                <c:formatCode>General</c:formatCode>
                <c:ptCount val="5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'Example Summary'!C12</c:f>
              <c:strCache>
                <c:ptCount val="1"/>
                <c:pt idx="0">
                  <c:v>Not supported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'Example Summary'!$A$13:$A$17</c:f>
              <c:strCache>
                <c:ptCount val="5"/>
                <c:pt idx="0">
                  <c:v>Chatbot</c:v>
                </c:pt>
                <c:pt idx="1">
                  <c:v>Social post</c:v>
                </c:pt>
                <c:pt idx="2">
                  <c:v>Article</c:v>
                </c:pt>
                <c:pt idx="3">
                  <c:v>Person</c:v>
                </c:pt>
                <c:pt idx="4">
                  <c:v>Other</c:v>
                </c:pt>
              </c:strCache>
            </c:strRef>
          </c:cat>
          <c:val>
            <c:numRef>
              <c:f>'Example Summary'!$C$13:$C$17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'Example Summary'!D12</c:f>
              <c:strCache>
                <c:ptCount val="1"/>
                <c:pt idx="0">
                  <c:v>Mixed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'Example Summary'!$A$13:$A$17</c:f>
              <c:strCache>
                <c:ptCount val="5"/>
                <c:pt idx="0">
                  <c:v>Chatbot</c:v>
                </c:pt>
                <c:pt idx="1">
                  <c:v>Social post</c:v>
                </c:pt>
                <c:pt idx="2">
                  <c:v>Article</c:v>
                </c:pt>
                <c:pt idx="3">
                  <c:v>Person</c:v>
                </c:pt>
                <c:pt idx="4">
                  <c:v>Other</c:v>
                </c:pt>
              </c:strCache>
            </c:strRef>
          </c:cat>
          <c:val>
            <c:numRef>
              <c:f>'Example Summary'!$D$13:$D$17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'Example Summary'!E12</c:f>
              <c:strCache>
                <c:ptCount val="1"/>
                <c:pt idx="0">
                  <c:v>Can't tell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'Example Summary'!$A$13:$A$17</c:f>
              <c:strCache>
                <c:ptCount val="5"/>
                <c:pt idx="0">
                  <c:v>Chatbot</c:v>
                </c:pt>
                <c:pt idx="1">
                  <c:v>Social post</c:v>
                </c:pt>
                <c:pt idx="2">
                  <c:v>Article</c:v>
                </c:pt>
                <c:pt idx="3">
                  <c:v>Person</c:v>
                </c:pt>
                <c:pt idx="4">
                  <c:v>Other</c:v>
                </c:pt>
              </c:strCache>
            </c:strRef>
          </c:cat>
          <c:val>
            <c:numRef>
              <c:f>'Example Summary'!$E$13:$E$17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gapWidth val="150"/>
        <c:overlap val="100"/>
        <c:axId val="71070970"/>
        <c:axId val="59206709"/>
      </c:barChart>
      <c:catAx>
        <c:axId val="710709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206709"/>
        <c:crosses val="autoZero"/>
        <c:auto val="1"/>
        <c:lblAlgn val="ctr"/>
        <c:lblOffset val="100"/>
        <c:noMultiLvlLbl val="0"/>
      </c:catAx>
      <c:valAx>
        <c:axId val="5920670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0709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175680</xdr:rowOff>
    </xdr:from>
    <xdr:to>
      <xdr:col>16</xdr:col>
      <xdr:colOff>256320</xdr:colOff>
      <xdr:row>16</xdr:row>
      <xdr:rowOff>47520</xdr:rowOff>
    </xdr:to>
    <xdr:graphicFrame>
      <xdr:nvGraphicFramePr>
        <xdr:cNvPr id="0" name="Chart 1"/>
        <xdr:cNvGraphicFramePr/>
      </xdr:nvGraphicFramePr>
      <xdr:xfrm>
        <a:off x="906984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175680</xdr:rowOff>
    </xdr:from>
    <xdr:to>
      <xdr:col>16</xdr:col>
      <xdr:colOff>256320</xdr:colOff>
      <xdr:row>16</xdr:row>
      <xdr:rowOff>47520</xdr:rowOff>
    </xdr:to>
    <xdr:graphicFrame>
      <xdr:nvGraphicFramePr>
        <xdr:cNvPr id="1" name="Chart 1"/>
        <xdr:cNvGraphicFramePr/>
      </xdr:nvGraphicFramePr>
      <xdr:xfrm>
        <a:off x="906984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35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26.85" hidden="false" customHeight="false" outlineLevel="0" collapsed="false">
      <c r="B5" s="4" t="s">
        <v>2</v>
      </c>
    </row>
    <row r="6" customFormat="false" ht="26.85" hidden="false" customHeight="false" outlineLevel="0" collapsed="false">
      <c r="B6" s="5" t="s">
        <v>3</v>
      </c>
    </row>
    <row r="7" customFormat="false" ht="15" hidden="false" customHeight="false" outlineLevel="0" collapsed="false">
      <c r="B7" s="3"/>
    </row>
    <row r="8" customFormat="false" ht="15" hidden="false" customHeight="false" outlineLevel="0" collapsed="false">
      <c r="B8" s="6" t="s">
        <v>4</v>
      </c>
    </row>
    <row r="9" customFormat="false" ht="15" hidden="false" customHeight="false" outlineLevel="0" collapsed="false">
      <c r="B9" s="4" t="s">
        <v>5</v>
      </c>
    </row>
    <row r="10" customFormat="false" ht="1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3"/>
    </row>
    <row r="15" customFormat="false" ht="15" hidden="false" customHeight="false" outlineLevel="0" collapsed="false">
      <c r="B15" s="6" t="s">
        <v>10</v>
      </c>
    </row>
    <row r="16" customFormat="false" ht="26.85" hidden="false" customHeight="false" outlineLevel="0" collapsed="false">
      <c r="B16" s="4" t="s">
        <v>11</v>
      </c>
    </row>
    <row r="17" customFormat="false" ht="15" hidden="false" customHeight="false" outlineLevel="0" collapsed="false">
      <c r="B17" s="4" t="s">
        <v>12</v>
      </c>
    </row>
    <row r="18" customFormat="false" ht="15" hidden="false" customHeight="false" outlineLevel="0" collapsed="false">
      <c r="B18" s="4" t="s">
        <v>13</v>
      </c>
    </row>
    <row r="19" customFormat="false" ht="15" hidden="false" customHeight="false" outlineLevel="0" collapsed="false">
      <c r="B19" s="4" t="s">
        <v>14</v>
      </c>
    </row>
    <row r="20" customFormat="false" ht="15" hidden="false" customHeight="false" outlineLevel="0" collapsed="false">
      <c r="B20" s="3"/>
    </row>
    <row r="21" customFormat="false" ht="15" hidden="false" customHeight="false" outlineLevel="0" collapsed="false">
      <c r="B21" s="7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22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30"/>
  </cols>
  <sheetData>
    <row r="1" customFormat="false" ht="55.5" hidden="false" customHeight="true" outlineLevel="0" collapsed="false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  <c r="G1" s="8" t="s">
        <v>22</v>
      </c>
      <c r="H1" s="8" t="s">
        <v>23</v>
      </c>
      <c r="I1" s="8" t="s">
        <v>24</v>
      </c>
      <c r="J1" s="8" t="s">
        <v>25</v>
      </c>
      <c r="K1" s="8" t="s">
        <v>26</v>
      </c>
      <c r="L1" s="8" t="s">
        <v>27</v>
      </c>
      <c r="N1" s="9" t="s">
        <v>28</v>
      </c>
    </row>
    <row r="2" customFormat="false" ht="15" hidden="false" customHeight="false" outlineLevel="0" collapsed="false">
      <c r="A2" s="10" t="n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customFormat="false" ht="15" hidden="false" customHeight="false" outlineLevel="0" collapsed="false">
      <c r="A3" s="10" t="n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customFormat="false" ht="15" hidden="false" customHeight="false" outlineLevel="0" collapsed="false">
      <c r="A4" s="10" t="n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customFormat="false" ht="15" hidden="false" customHeight="false" outlineLevel="0" collapsed="false">
      <c r="A5" s="10" t="n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customFormat="false" ht="15" hidden="false" customHeight="false" outlineLevel="0" collapsed="false">
      <c r="A6" s="10" t="n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customFormat="false" ht="15" hidden="false" customHeight="false" outlineLevel="0" collapsed="false">
      <c r="A7" s="10" t="n">
        <v>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customFormat="false" ht="15" hidden="false" customHeight="false" outlineLevel="0" collapsed="false">
      <c r="A8" s="10" t="n">
        <v>7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customFormat="false" ht="15" hidden="false" customHeight="false" outlineLevel="0" collapsed="false">
      <c r="A9" s="10" t="n">
        <v>8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customFormat="false" ht="15" hidden="false" customHeight="false" outlineLevel="0" collapsed="false">
      <c r="A10" s="10" t="n">
        <v>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customFormat="false" ht="15" hidden="false" customHeight="false" outlineLevel="0" collapsed="false">
      <c r="A11" s="10" t="n">
        <v>10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customFormat="false" ht="15" hidden="false" customHeight="false" outlineLevel="0" collapsed="false">
      <c r="A12" s="10" t="n">
        <v>11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customFormat="false" ht="15" hidden="false" customHeight="false" outlineLevel="0" collapsed="false">
      <c r="A13" s="10" t="n">
        <v>12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customFormat="false" ht="15" hidden="false" customHeight="false" outlineLevel="0" collapsed="false">
      <c r="A14" s="10" t="n">
        <v>13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customFormat="false" ht="15" hidden="false" customHeight="false" outlineLevel="0" collapsed="false">
      <c r="A15" s="10" t="n">
        <v>14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customFormat="false" ht="15" hidden="false" customHeight="false" outlineLevel="0" collapsed="false">
      <c r="A16" s="10" t="n">
        <v>15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customFormat="false" ht="15" hidden="false" customHeight="false" outlineLevel="0" collapsed="false">
      <c r="A17" s="10" t="n">
        <v>16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customFormat="false" ht="15" hidden="false" customHeight="false" outlineLevel="0" collapsed="false">
      <c r="A18" s="10" t="n">
        <v>17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customFormat="false" ht="15" hidden="false" customHeight="false" outlineLevel="0" collapsed="false">
      <c r="A19" s="10" t="n">
        <v>18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customFormat="false" ht="15" hidden="false" customHeight="false" outlineLevel="0" collapsed="false">
      <c r="A20" s="10" t="n">
        <v>19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customFormat="false" ht="15" hidden="false" customHeight="false" outlineLevel="0" collapsed="false">
      <c r="A21" s="10" t="n">
        <v>20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customFormat="false" ht="15" hidden="false" customHeight="false" outlineLevel="0" collapsed="false">
      <c r="A22" s="10" t="n">
        <v>21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customFormat="false" ht="15" hidden="false" customHeight="false" outlineLevel="0" collapsed="false">
      <c r="A23" s="10" t="n">
        <v>22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customFormat="false" ht="15" hidden="false" customHeight="false" outlineLevel="0" collapsed="false">
      <c r="A24" s="10" t="n">
        <v>23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customFormat="false" ht="15" hidden="false" customHeight="false" outlineLevel="0" collapsed="false">
      <c r="A25" s="10" t="n">
        <v>24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customFormat="false" ht="15" hidden="false" customHeight="false" outlineLevel="0" collapsed="false">
      <c r="A26" s="10" t="n">
        <v>25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customFormat="false" ht="15" hidden="false" customHeight="false" outlineLevel="0" collapsed="false">
      <c r="A27" s="10" t="n">
        <v>26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customFormat="false" ht="15" hidden="false" customHeight="false" outlineLevel="0" collapsed="false">
      <c r="A28" s="10" t="n">
        <v>27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customFormat="false" ht="15" hidden="false" customHeight="false" outlineLevel="0" collapsed="false">
      <c r="A29" s="10" t="n">
        <v>28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customFormat="false" ht="15" hidden="false" customHeight="false" outlineLevel="0" collapsed="false">
      <c r="A30" s="10" t="n">
        <v>29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customFormat="false" ht="15" hidden="false" customHeight="false" outlineLevel="0" collapsed="false">
      <c r="A31" s="10" t="n">
        <v>30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</sheetData>
  <dataValidations count="6">
    <dataValidation allowBlank="true" errorStyle="stop" operator="between" showDropDown="false" showErrorMessage="false" showInputMessage="false" sqref="C2:C31" type="list">
      <formula1>"Chatbot,Social post,Article,Person,Other"</formula1>
      <formula2>0</formula2>
    </dataValidation>
    <dataValidation allowBlank="true" errorStyle="stop" operator="between" showDropDown="false" showErrorMessage="false" showInputMessage="false" sqref="E2:E31" type="list">
      <formula1>"Yes,No,No source"</formula1>
      <formula2>0</formula2>
    </dataValidation>
    <dataValidation allowBlank="true" errorStyle="stop" operator="between" showDropDown="false" showErrorMessage="false" showInputMessage="false" sqref="F2:F31" type="list">
      <formula1>"Yes,No,Partly,Couldn't check"</formula1>
      <formula2>0</formula2>
    </dataValidation>
    <dataValidation allowBlank="true" errorStyle="stop" operator="between" showDropDown="false" showErrorMessage="false" showInputMessage="false" sqref="I2:I31" type="list">
      <formula1>"Supported,Not supported,Mixed,Can't tell"</formula1>
      <formula2>0</formula2>
    </dataValidation>
    <dataValidation allowBlank="true" errorStyle="stop" operator="between" showDropDown="false" showErrorMessage="false" showInputMessage="false" sqref="J2:J31" type="list">
      <formula1>"Same,Different,Not asked"</formula1>
      <formula2>0</formula2>
    </dataValidation>
    <dataValidation allowBlank="true" errorStyle="stop" operator="between" showDropDown="false" showErrorMessage="false" showInputMessage="false" sqref="K2:K31" type="list">
      <formula1>"Held,Flipped,Not asked"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</cols>
  <sheetData>
    <row r="1" customFormat="false" ht="16.15" hidden="false" customHeight="false" outlineLevel="0" collapsed="false">
      <c r="A1" s="12" t="s">
        <v>29</v>
      </c>
    </row>
    <row r="3" customFormat="false" ht="15" hidden="false" customHeight="false" outlineLevel="0" collapsed="false">
      <c r="A3" s="8" t="s">
        <v>30</v>
      </c>
      <c r="B3" s="8" t="s">
        <v>31</v>
      </c>
    </row>
    <row r="4" customFormat="false" ht="15" hidden="false" customHeight="false" outlineLevel="0" collapsed="false">
      <c r="A4" s="13" t="s">
        <v>32</v>
      </c>
      <c r="B4" s="14" t="n">
        <f aca="false">COUNTA('Interrogation Log'!B2:B31)</f>
        <v>0</v>
      </c>
    </row>
    <row r="5" customFormat="false" ht="15" hidden="false" customHeight="false" outlineLevel="0" collapsed="false">
      <c r="A5" s="13" t="s">
        <v>33</v>
      </c>
      <c r="B5" s="14" t="n">
        <f aca="false">COUNTIF('Interrogation Log'!E2:E31,"Yes")+COUNTIF('Interrogation Log'!E2:E31,"No")</f>
        <v>0</v>
      </c>
    </row>
    <row r="6" customFormat="false" ht="15" hidden="false" customHeight="false" outlineLevel="0" collapsed="false">
      <c r="A6" s="13" t="s">
        <v>34</v>
      </c>
      <c r="B6" s="15" t="str">
        <f aca="false">IFERROR(COUNTIF('Interrogation Log'!E2:E31,"Yes")/B5,"")</f>
        <v/>
      </c>
    </row>
    <row r="7" customFormat="false" ht="15" hidden="false" customHeight="false" outlineLevel="0" collapsed="false">
      <c r="A7" s="13" t="s">
        <v>35</v>
      </c>
      <c r="B7" s="15" t="str">
        <f aca="false">IFERROR(COUNTIF('Interrogation Log'!F2:F31,"Yes")/COUNTIF('Interrogation Log'!E2:E31,"Yes"),"")</f>
        <v/>
      </c>
    </row>
    <row r="8" customFormat="false" ht="15" hidden="false" customHeight="false" outlineLevel="0" collapsed="false">
      <c r="A8" s="13" t="s">
        <v>36</v>
      </c>
      <c r="B8" s="15" t="str">
        <f aca="false">IFERROR(COUNTIF('Interrogation Log'!J2:J31,"Different")/(COUNTIF('Interrogation Log'!J2:J31,"Same")+COUNTIF('Interrogation Log'!J2:J31,"Different")),"")</f>
        <v/>
      </c>
    </row>
    <row r="9" customFormat="false" ht="15" hidden="false" customHeight="false" outlineLevel="0" collapsed="false">
      <c r="A9" s="13" t="s">
        <v>37</v>
      </c>
      <c r="B9" s="15" t="str">
        <f aca="false">IFERROR(COUNTIF('Interrogation Log'!K2:K31,"Flipped")/(COUNTIF('Interrogation Log'!K2:K31,"Held")+COUNTIF('Interrogation Log'!K2:K31,"Flipped")),"")</f>
        <v/>
      </c>
    </row>
    <row r="11" customFormat="false" ht="15" hidden="false" customHeight="false" outlineLevel="0" collapsed="false">
      <c r="A11" s="16" t="s">
        <v>38</v>
      </c>
    </row>
    <row r="12" customFormat="false" ht="26.85" hidden="false" customHeight="false" outlineLevel="0" collapsed="false">
      <c r="A12" s="8" t="s">
        <v>39</v>
      </c>
      <c r="B12" s="8" t="s">
        <v>40</v>
      </c>
      <c r="C12" s="8" t="s">
        <v>41</v>
      </c>
      <c r="D12" s="8" t="s">
        <v>42</v>
      </c>
      <c r="E12" s="8" t="s">
        <v>43</v>
      </c>
      <c r="F12" s="8" t="s">
        <v>44</v>
      </c>
    </row>
    <row r="13" customFormat="false" ht="15" hidden="false" customHeight="false" outlineLevel="0" collapsed="false">
      <c r="A13" s="17" t="s">
        <v>45</v>
      </c>
      <c r="B13" s="17" t="n">
        <f aca="false">COUNTIFS('Interrogation Log'!C2:C31,$A13,'Interrogation Log'!I2:I31,"Supported")</f>
        <v>0</v>
      </c>
      <c r="C13" s="17" t="n">
        <f aca="false">COUNTIFS('Interrogation Log'!C2:C31,$A13,'Interrogation Log'!I2:I31,"Not supported")</f>
        <v>0</v>
      </c>
      <c r="D13" s="17" t="n">
        <f aca="false">COUNTIFS('Interrogation Log'!C2:C31,$A13,'Interrogation Log'!I2:I31,"Mixed")</f>
        <v>0</v>
      </c>
      <c r="E13" s="17" t="n">
        <f aca="false">COUNTIFS('Interrogation Log'!C2:C31,$A13,'Interrogation Log'!I2:I31,"Can't tell")</f>
        <v>0</v>
      </c>
      <c r="F13" s="17" t="n">
        <f aca="false">SUM(B13:E13)</f>
        <v>0</v>
      </c>
    </row>
    <row r="14" customFormat="false" ht="15" hidden="false" customHeight="false" outlineLevel="0" collapsed="false">
      <c r="A14" s="17" t="s">
        <v>46</v>
      </c>
      <c r="B14" s="17" t="n">
        <f aca="false">COUNTIFS('Interrogation Log'!C2:C31,$A14,'Interrogation Log'!I2:I31,"Supported")</f>
        <v>0</v>
      </c>
      <c r="C14" s="17" t="n">
        <f aca="false">COUNTIFS('Interrogation Log'!C2:C31,$A14,'Interrogation Log'!I2:I31,"Not supported")</f>
        <v>0</v>
      </c>
      <c r="D14" s="17" t="n">
        <f aca="false">COUNTIFS('Interrogation Log'!C2:C31,$A14,'Interrogation Log'!I2:I31,"Mixed")</f>
        <v>0</v>
      </c>
      <c r="E14" s="17" t="n">
        <f aca="false">COUNTIFS('Interrogation Log'!C2:C31,$A14,'Interrogation Log'!I2:I31,"Can't tell")</f>
        <v>0</v>
      </c>
      <c r="F14" s="17" t="n">
        <f aca="false">SUM(B14:E14)</f>
        <v>0</v>
      </c>
    </row>
    <row r="15" customFormat="false" ht="15" hidden="false" customHeight="false" outlineLevel="0" collapsed="false">
      <c r="A15" s="17" t="s">
        <v>47</v>
      </c>
      <c r="B15" s="17" t="n">
        <f aca="false">COUNTIFS('Interrogation Log'!C2:C31,$A15,'Interrogation Log'!I2:I31,"Supported")</f>
        <v>0</v>
      </c>
      <c r="C15" s="17" t="n">
        <f aca="false">COUNTIFS('Interrogation Log'!C2:C31,$A15,'Interrogation Log'!I2:I31,"Not supported")</f>
        <v>0</v>
      </c>
      <c r="D15" s="17" t="n">
        <f aca="false">COUNTIFS('Interrogation Log'!C2:C31,$A15,'Interrogation Log'!I2:I31,"Mixed")</f>
        <v>0</v>
      </c>
      <c r="E15" s="17" t="n">
        <f aca="false">COUNTIFS('Interrogation Log'!C2:C31,$A15,'Interrogation Log'!I2:I31,"Can't tell")</f>
        <v>0</v>
      </c>
      <c r="F15" s="17" t="n">
        <f aca="false">SUM(B15:E15)</f>
        <v>0</v>
      </c>
    </row>
    <row r="16" customFormat="false" ht="15" hidden="false" customHeight="false" outlineLevel="0" collapsed="false">
      <c r="A16" s="17" t="s">
        <v>48</v>
      </c>
      <c r="B16" s="17" t="n">
        <f aca="false">COUNTIFS('Interrogation Log'!C2:C31,$A16,'Interrogation Log'!I2:I31,"Supported")</f>
        <v>0</v>
      </c>
      <c r="C16" s="17" t="n">
        <f aca="false">COUNTIFS('Interrogation Log'!C2:C31,$A16,'Interrogation Log'!I2:I31,"Not supported")</f>
        <v>0</v>
      </c>
      <c r="D16" s="17" t="n">
        <f aca="false">COUNTIFS('Interrogation Log'!C2:C31,$A16,'Interrogation Log'!I2:I31,"Mixed")</f>
        <v>0</v>
      </c>
      <c r="E16" s="17" t="n">
        <f aca="false">COUNTIFS('Interrogation Log'!C2:C31,$A16,'Interrogation Log'!I2:I31,"Can't tell")</f>
        <v>0</v>
      </c>
      <c r="F16" s="17" t="n">
        <f aca="false">SUM(B16:E16)</f>
        <v>0</v>
      </c>
    </row>
    <row r="17" customFormat="false" ht="15" hidden="false" customHeight="false" outlineLevel="0" collapsed="false">
      <c r="A17" s="17" t="s">
        <v>49</v>
      </c>
      <c r="B17" s="17" t="n">
        <f aca="false">COUNTIFS('Interrogation Log'!C2:C31,$A17,'Interrogation Log'!I2:I31,"Supported")</f>
        <v>0</v>
      </c>
      <c r="C17" s="17" t="n">
        <f aca="false">COUNTIFS('Interrogation Log'!C2:C31,$A17,'Interrogation Log'!I2:I31,"Not supported")</f>
        <v>0</v>
      </c>
      <c r="D17" s="17" t="n">
        <f aca="false">COUNTIFS('Interrogation Log'!C2:C31,$A17,'Interrogation Log'!I2:I31,"Mixed")</f>
        <v>0</v>
      </c>
      <c r="E17" s="17" t="n">
        <f aca="false">COUNTIFS('Interrogation Log'!C2:C31,$A17,'Interrogation Log'!I2:I31,"Can't tell")</f>
        <v>0</v>
      </c>
      <c r="F17" s="17" t="n">
        <f aca="false">SUM(B17:E17)</f>
        <v>0</v>
      </c>
    </row>
    <row r="19" customFormat="false" ht="15" hidden="false" customHeight="false" outlineLevel="0" collapsed="false">
      <c r="A19" s="18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22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30"/>
  </cols>
  <sheetData>
    <row r="1" customFormat="false" ht="55.5" hidden="false" customHeight="true" outlineLevel="0" collapsed="false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  <c r="G1" s="8" t="s">
        <v>22</v>
      </c>
      <c r="H1" s="8" t="s">
        <v>23</v>
      </c>
      <c r="I1" s="8" t="s">
        <v>24</v>
      </c>
      <c r="J1" s="8" t="s">
        <v>25</v>
      </c>
      <c r="K1" s="8" t="s">
        <v>26</v>
      </c>
      <c r="L1" s="8" t="s">
        <v>27</v>
      </c>
      <c r="N1" s="19" t="s">
        <v>51</v>
      </c>
    </row>
    <row r="2" customFormat="false" ht="26.85" hidden="false" customHeight="false" outlineLevel="0" collapsed="false">
      <c r="A2" s="10" t="n">
        <v>1</v>
      </c>
      <c r="B2" s="20" t="s">
        <v>52</v>
      </c>
      <c r="C2" s="20" t="s">
        <v>45</v>
      </c>
      <c r="D2" s="20" t="s">
        <v>53</v>
      </c>
      <c r="E2" s="20" t="s">
        <v>54</v>
      </c>
      <c r="F2" s="20" t="s">
        <v>55</v>
      </c>
      <c r="G2" s="20" t="s">
        <v>56</v>
      </c>
      <c r="H2" s="20" t="s">
        <v>57</v>
      </c>
      <c r="I2" s="20" t="s">
        <v>40</v>
      </c>
      <c r="J2" s="20" t="s">
        <v>58</v>
      </c>
      <c r="K2" s="20" t="s">
        <v>59</v>
      </c>
      <c r="L2" s="20" t="s">
        <v>60</v>
      </c>
    </row>
    <row r="3" customFormat="false" ht="26.85" hidden="false" customHeight="false" outlineLevel="0" collapsed="false">
      <c r="A3" s="10" t="n">
        <v>2</v>
      </c>
      <c r="B3" s="20" t="s">
        <v>61</v>
      </c>
      <c r="C3" s="20" t="s">
        <v>46</v>
      </c>
      <c r="D3" s="20" t="s">
        <v>62</v>
      </c>
      <c r="E3" s="20" t="s">
        <v>54</v>
      </c>
      <c r="F3" s="20" t="s">
        <v>55</v>
      </c>
      <c r="G3" s="20" t="s">
        <v>63</v>
      </c>
      <c r="H3" s="20" t="s">
        <v>64</v>
      </c>
      <c r="I3" s="20" t="s">
        <v>41</v>
      </c>
      <c r="J3" s="20" t="s">
        <v>65</v>
      </c>
      <c r="K3" s="20" t="s">
        <v>65</v>
      </c>
      <c r="L3" s="20" t="s">
        <v>66</v>
      </c>
    </row>
    <row r="4" customFormat="false" ht="26.85" hidden="false" customHeight="false" outlineLevel="0" collapsed="false">
      <c r="A4" s="10" t="n">
        <v>3</v>
      </c>
      <c r="B4" s="20" t="s">
        <v>67</v>
      </c>
      <c r="C4" s="20" t="s">
        <v>45</v>
      </c>
      <c r="D4" s="20" t="s">
        <v>68</v>
      </c>
      <c r="E4" s="20" t="s">
        <v>69</v>
      </c>
      <c r="F4" s="20" t="s">
        <v>70</v>
      </c>
      <c r="G4" s="20" t="s">
        <v>71</v>
      </c>
      <c r="H4" s="20" t="s">
        <v>72</v>
      </c>
      <c r="I4" s="20" t="s">
        <v>41</v>
      </c>
      <c r="J4" s="20" t="s">
        <v>73</v>
      </c>
      <c r="K4" s="20" t="s">
        <v>74</v>
      </c>
      <c r="L4" s="20" t="s">
        <v>75</v>
      </c>
    </row>
    <row r="5" customFormat="false" ht="26.85" hidden="false" customHeight="false" outlineLevel="0" collapsed="false">
      <c r="A5" s="10" t="n">
        <v>4</v>
      </c>
      <c r="B5" s="20" t="s">
        <v>76</v>
      </c>
      <c r="C5" s="20" t="s">
        <v>45</v>
      </c>
      <c r="D5" s="20" t="s">
        <v>77</v>
      </c>
      <c r="E5" s="20" t="s">
        <v>78</v>
      </c>
      <c r="F5" s="20" t="s">
        <v>69</v>
      </c>
      <c r="G5" s="20" t="s">
        <v>79</v>
      </c>
      <c r="H5" s="20" t="s">
        <v>80</v>
      </c>
      <c r="I5" s="20" t="s">
        <v>41</v>
      </c>
      <c r="J5" s="20" t="s">
        <v>58</v>
      </c>
      <c r="K5" s="20" t="s">
        <v>59</v>
      </c>
      <c r="L5" s="20" t="s">
        <v>81</v>
      </c>
    </row>
    <row r="6" customFormat="false" ht="26.85" hidden="false" customHeight="false" outlineLevel="0" collapsed="false">
      <c r="A6" s="10" t="n">
        <v>5</v>
      </c>
      <c r="B6" s="20" t="s">
        <v>82</v>
      </c>
      <c r="C6" s="20" t="s">
        <v>48</v>
      </c>
      <c r="D6" s="20" t="s">
        <v>62</v>
      </c>
      <c r="E6" s="20" t="s">
        <v>54</v>
      </c>
      <c r="F6" s="20" t="s">
        <v>55</v>
      </c>
      <c r="G6" s="20" t="s">
        <v>83</v>
      </c>
      <c r="H6" s="20" t="s">
        <v>83</v>
      </c>
      <c r="I6" s="20" t="s">
        <v>43</v>
      </c>
      <c r="J6" s="20" t="s">
        <v>65</v>
      </c>
      <c r="K6" s="20" t="s">
        <v>65</v>
      </c>
      <c r="L6" s="20" t="s">
        <v>84</v>
      </c>
    </row>
    <row r="7" customFormat="false" ht="15" hidden="false" customHeight="false" outlineLevel="0" collapsed="false">
      <c r="A7" s="10" t="n">
        <v>6</v>
      </c>
      <c r="B7" s="20" t="s">
        <v>85</v>
      </c>
      <c r="C7" s="20" t="s">
        <v>47</v>
      </c>
      <c r="D7" s="20" t="s">
        <v>86</v>
      </c>
      <c r="E7" s="20" t="s">
        <v>78</v>
      </c>
      <c r="F7" s="20" t="s">
        <v>87</v>
      </c>
      <c r="G7" s="20" t="s">
        <v>88</v>
      </c>
      <c r="H7" s="20" t="s">
        <v>89</v>
      </c>
      <c r="I7" s="20" t="s">
        <v>42</v>
      </c>
      <c r="J7" s="20" t="s">
        <v>65</v>
      </c>
      <c r="K7" s="20" t="s">
        <v>65</v>
      </c>
      <c r="L7" s="20" t="s">
        <v>90</v>
      </c>
    </row>
    <row r="8" customFormat="false" ht="26.85" hidden="false" customHeight="false" outlineLevel="0" collapsed="false">
      <c r="A8" s="10" t="n">
        <v>7</v>
      </c>
      <c r="B8" s="20" t="s">
        <v>91</v>
      </c>
      <c r="C8" s="20" t="s">
        <v>45</v>
      </c>
      <c r="D8" s="20" t="s">
        <v>92</v>
      </c>
      <c r="E8" s="20" t="s">
        <v>69</v>
      </c>
      <c r="F8" s="20" t="s">
        <v>70</v>
      </c>
      <c r="G8" s="20" t="s">
        <v>93</v>
      </c>
      <c r="H8" s="20" t="s">
        <v>94</v>
      </c>
      <c r="I8" s="20" t="s">
        <v>42</v>
      </c>
      <c r="J8" s="20" t="s">
        <v>73</v>
      </c>
      <c r="K8" s="20" t="s">
        <v>59</v>
      </c>
      <c r="L8" s="20" t="s">
        <v>95</v>
      </c>
    </row>
    <row r="9" customFormat="false" ht="15" hidden="false" customHeight="false" outlineLevel="0" collapsed="false">
      <c r="A9" s="10" t="n">
        <v>8</v>
      </c>
      <c r="B9" s="20" t="s">
        <v>96</v>
      </c>
      <c r="C9" s="20" t="s">
        <v>45</v>
      </c>
      <c r="D9" s="20" t="s">
        <v>53</v>
      </c>
      <c r="E9" s="20" t="s">
        <v>54</v>
      </c>
      <c r="F9" s="20" t="s">
        <v>55</v>
      </c>
      <c r="G9" s="20" t="s">
        <v>97</v>
      </c>
      <c r="H9" s="20" t="s">
        <v>57</v>
      </c>
      <c r="I9" s="20" t="s">
        <v>40</v>
      </c>
      <c r="J9" s="20" t="s">
        <v>58</v>
      </c>
      <c r="K9" s="20" t="s">
        <v>59</v>
      </c>
      <c r="L9" s="20"/>
    </row>
    <row r="10" customFormat="false" ht="15" hidden="false" customHeight="false" outlineLevel="0" collapsed="false">
      <c r="A10" s="10" t="n">
        <v>9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customFormat="false" ht="15" hidden="false" customHeight="false" outlineLevel="0" collapsed="false">
      <c r="A11" s="10" t="n">
        <v>10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</row>
    <row r="12" customFormat="false" ht="15" hidden="false" customHeight="false" outlineLevel="0" collapsed="false">
      <c r="A12" s="10" t="n">
        <v>11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</row>
    <row r="13" customFormat="false" ht="15" hidden="false" customHeight="false" outlineLevel="0" collapsed="false">
      <c r="A13" s="10" t="n">
        <v>12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</row>
    <row r="14" customFormat="false" ht="15" hidden="false" customHeight="false" outlineLevel="0" collapsed="false">
      <c r="A14" s="10" t="n">
        <v>13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customFormat="false" ht="15" hidden="false" customHeight="false" outlineLevel="0" collapsed="false">
      <c r="A15" s="10" t="n">
        <v>14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</row>
    <row r="16" customFormat="false" ht="15" hidden="false" customHeight="false" outlineLevel="0" collapsed="false">
      <c r="A16" s="10" t="n">
        <v>15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</row>
    <row r="17" customFormat="false" ht="15" hidden="false" customHeight="false" outlineLevel="0" collapsed="false">
      <c r="A17" s="10" t="n">
        <v>16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customFormat="false" ht="15" hidden="false" customHeight="false" outlineLevel="0" collapsed="false">
      <c r="A18" s="10" t="n">
        <v>17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</row>
    <row r="19" customFormat="false" ht="15" hidden="false" customHeight="false" outlineLevel="0" collapsed="false">
      <c r="A19" s="10" t="n">
        <v>18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customFormat="false" ht="15" hidden="false" customHeight="false" outlineLevel="0" collapsed="false">
      <c r="A20" s="10" t="n">
        <v>19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customFormat="false" ht="15" hidden="false" customHeight="false" outlineLevel="0" collapsed="false">
      <c r="A21" s="10" t="n">
        <v>20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customFormat="false" ht="15" hidden="false" customHeight="false" outlineLevel="0" collapsed="false">
      <c r="A22" s="10" t="n">
        <v>21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customFormat="false" ht="15" hidden="false" customHeight="false" outlineLevel="0" collapsed="false">
      <c r="A23" s="10" t="n">
        <v>22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customFormat="false" ht="15" hidden="false" customHeight="false" outlineLevel="0" collapsed="false">
      <c r="A24" s="10" t="n">
        <v>23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customFormat="false" ht="15" hidden="false" customHeight="false" outlineLevel="0" collapsed="false">
      <c r="A25" s="10" t="n">
        <v>24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customFormat="false" ht="15" hidden="false" customHeight="false" outlineLevel="0" collapsed="false">
      <c r="A26" s="10" t="n">
        <v>25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customFormat="false" ht="15" hidden="false" customHeight="false" outlineLevel="0" collapsed="false">
      <c r="A27" s="10" t="n">
        <v>26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</row>
    <row r="28" customFormat="false" ht="15" hidden="false" customHeight="false" outlineLevel="0" collapsed="false">
      <c r="A28" s="10" t="n">
        <v>27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customFormat="false" ht="15" hidden="false" customHeight="false" outlineLevel="0" collapsed="false">
      <c r="A29" s="10" t="n">
        <v>28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 customFormat="false" ht="15" hidden="false" customHeight="false" outlineLevel="0" collapsed="false">
      <c r="A30" s="10" t="n">
        <v>29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</row>
    <row r="31" customFormat="false" ht="15" hidden="false" customHeight="false" outlineLevel="0" collapsed="false">
      <c r="A31" s="10" t="n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</row>
  </sheetData>
  <dataValidations count="6">
    <dataValidation allowBlank="true" errorStyle="stop" operator="between" showDropDown="false" showErrorMessage="false" showInputMessage="false" sqref="C2:C31" type="list">
      <formula1>"Chatbot,Social post,Article,Person,Other"</formula1>
      <formula2>0</formula2>
    </dataValidation>
    <dataValidation allowBlank="true" errorStyle="stop" operator="between" showDropDown="false" showErrorMessage="false" showInputMessage="false" sqref="E2:E31" type="list">
      <formula1>"Yes,No,No source"</formula1>
      <formula2>0</formula2>
    </dataValidation>
    <dataValidation allowBlank="true" errorStyle="stop" operator="between" showDropDown="false" showErrorMessage="false" showInputMessage="false" sqref="F2:F31" type="list">
      <formula1>"Yes,No,Partly,Couldn't check"</formula1>
      <formula2>0</formula2>
    </dataValidation>
    <dataValidation allowBlank="true" errorStyle="stop" operator="between" showDropDown="false" showErrorMessage="false" showInputMessage="false" sqref="I2:I31" type="list">
      <formula1>"Supported,Not supported,Mixed,Can't tell"</formula1>
      <formula2>0</formula2>
    </dataValidation>
    <dataValidation allowBlank="true" errorStyle="stop" operator="between" showDropDown="false" showErrorMessage="false" showInputMessage="false" sqref="J2:J31" type="list">
      <formula1>"Same,Different,Not asked"</formula1>
      <formula2>0</formula2>
    </dataValidation>
    <dataValidation allowBlank="true" errorStyle="stop" operator="between" showDropDown="false" showErrorMessage="false" showInputMessage="false" sqref="K2:K31" type="list">
      <formula1>"Held,Flipped,Not asked"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</cols>
  <sheetData>
    <row r="1" customFormat="false" ht="16.15" hidden="false" customHeight="false" outlineLevel="0" collapsed="false">
      <c r="A1" s="12" t="s">
        <v>98</v>
      </c>
    </row>
    <row r="3" customFormat="false" ht="15" hidden="false" customHeight="false" outlineLevel="0" collapsed="false">
      <c r="A3" s="8" t="s">
        <v>30</v>
      </c>
      <c r="B3" s="8" t="s">
        <v>31</v>
      </c>
    </row>
    <row r="4" customFormat="false" ht="15" hidden="false" customHeight="false" outlineLevel="0" collapsed="false">
      <c r="A4" s="13" t="s">
        <v>32</v>
      </c>
      <c r="B4" s="14" t="n">
        <f aca="false">COUNTA('Example Log'!B2:B31)</f>
        <v>8</v>
      </c>
    </row>
    <row r="5" customFormat="false" ht="15" hidden="false" customHeight="false" outlineLevel="0" collapsed="false">
      <c r="A5" s="13" t="s">
        <v>33</v>
      </c>
      <c r="B5" s="14" t="n">
        <f aca="false">COUNTIF('Example Log'!E2:E31,"Yes")+COUNTIF('Example Log'!E2:E31,"No")</f>
        <v>4</v>
      </c>
    </row>
    <row r="6" customFormat="false" ht="15" hidden="false" customHeight="false" outlineLevel="0" collapsed="false">
      <c r="A6" s="13" t="s">
        <v>34</v>
      </c>
      <c r="B6" s="15" t="n">
        <f aca="false">IFERROR(COUNTIF('Example Log'!E2:E31,"Yes")/B5,"")</f>
        <v>0.5</v>
      </c>
    </row>
    <row r="7" customFormat="false" ht="15" hidden="false" customHeight="false" outlineLevel="0" collapsed="false">
      <c r="A7" s="13" t="s">
        <v>35</v>
      </c>
      <c r="B7" s="15" t="n">
        <f aca="false">IFERROR(COUNTIF('Example Log'!F2:F31,"Yes")/COUNTIF('Example Log'!E2:E31,"Yes"),"")</f>
        <v>0</v>
      </c>
    </row>
    <row r="8" customFormat="false" ht="15" hidden="false" customHeight="false" outlineLevel="0" collapsed="false">
      <c r="A8" s="13" t="s">
        <v>36</v>
      </c>
      <c r="B8" s="15" t="n">
        <f aca="false">IFERROR(COUNTIF('Example Log'!J2:J31,"Different")/(COUNTIF('Example Log'!J2:J31,"Same")+COUNTIF('Example Log'!J2:J31,"Different")),"")</f>
        <v>0.4</v>
      </c>
    </row>
    <row r="9" customFormat="false" ht="15" hidden="false" customHeight="false" outlineLevel="0" collapsed="false">
      <c r="A9" s="13" t="s">
        <v>37</v>
      </c>
      <c r="B9" s="15" t="n">
        <f aca="false">IFERROR(COUNTIF('Example Log'!K2:K31,"Flipped")/(COUNTIF('Example Log'!K2:K31,"Held")+COUNTIF('Example Log'!K2:K31,"Flipped")),"")</f>
        <v>0.2</v>
      </c>
    </row>
    <row r="11" customFormat="false" ht="15" hidden="false" customHeight="false" outlineLevel="0" collapsed="false">
      <c r="A11" s="16" t="s">
        <v>38</v>
      </c>
    </row>
    <row r="12" customFormat="false" ht="26.85" hidden="false" customHeight="false" outlineLevel="0" collapsed="false">
      <c r="A12" s="8" t="s">
        <v>39</v>
      </c>
      <c r="B12" s="8" t="s">
        <v>40</v>
      </c>
      <c r="C12" s="8" t="s">
        <v>41</v>
      </c>
      <c r="D12" s="8" t="s">
        <v>42</v>
      </c>
      <c r="E12" s="8" t="s">
        <v>43</v>
      </c>
      <c r="F12" s="8" t="s">
        <v>44</v>
      </c>
    </row>
    <row r="13" customFormat="false" ht="15" hidden="false" customHeight="false" outlineLevel="0" collapsed="false">
      <c r="A13" s="17" t="s">
        <v>45</v>
      </c>
      <c r="B13" s="17" t="n">
        <f aca="false">COUNTIFS('Example Log'!C2:C31,$A13,'Example Log'!I2:I31,"Supported")</f>
        <v>2</v>
      </c>
      <c r="C13" s="17" t="n">
        <f aca="false">COUNTIFS('Example Log'!C2:C31,$A13,'Example Log'!I2:I31,"Not supported")</f>
        <v>2</v>
      </c>
      <c r="D13" s="17" t="n">
        <f aca="false">COUNTIFS('Example Log'!C2:C31,$A13,'Example Log'!I2:I31,"Mixed")</f>
        <v>1</v>
      </c>
      <c r="E13" s="17" t="n">
        <f aca="false">COUNTIFS('Example Log'!C2:C31,$A13,'Example Log'!I2:I31,"Can't tell")</f>
        <v>0</v>
      </c>
      <c r="F13" s="17" t="n">
        <f aca="false">SUM(B13:E13)</f>
        <v>5</v>
      </c>
    </row>
    <row r="14" customFormat="false" ht="15" hidden="false" customHeight="false" outlineLevel="0" collapsed="false">
      <c r="A14" s="17" t="s">
        <v>46</v>
      </c>
      <c r="B14" s="17" t="n">
        <f aca="false">COUNTIFS('Example Log'!C2:C31,$A14,'Example Log'!I2:I31,"Supported")</f>
        <v>0</v>
      </c>
      <c r="C14" s="17" t="n">
        <f aca="false">COUNTIFS('Example Log'!C2:C31,$A14,'Example Log'!I2:I31,"Not supported")</f>
        <v>1</v>
      </c>
      <c r="D14" s="17" t="n">
        <f aca="false">COUNTIFS('Example Log'!C2:C31,$A14,'Example Log'!I2:I31,"Mixed")</f>
        <v>0</v>
      </c>
      <c r="E14" s="17" t="n">
        <f aca="false">COUNTIFS('Example Log'!C2:C31,$A14,'Example Log'!I2:I31,"Can't tell")</f>
        <v>0</v>
      </c>
      <c r="F14" s="17" t="n">
        <f aca="false">SUM(B14:E14)</f>
        <v>1</v>
      </c>
    </row>
    <row r="15" customFormat="false" ht="15" hidden="false" customHeight="false" outlineLevel="0" collapsed="false">
      <c r="A15" s="17" t="s">
        <v>47</v>
      </c>
      <c r="B15" s="17" t="n">
        <f aca="false">COUNTIFS('Example Log'!C2:C31,$A15,'Example Log'!I2:I31,"Supported")</f>
        <v>0</v>
      </c>
      <c r="C15" s="17" t="n">
        <f aca="false">COUNTIFS('Example Log'!C2:C31,$A15,'Example Log'!I2:I31,"Not supported")</f>
        <v>0</v>
      </c>
      <c r="D15" s="17" t="n">
        <f aca="false">COUNTIFS('Example Log'!C2:C31,$A15,'Example Log'!I2:I31,"Mixed")</f>
        <v>1</v>
      </c>
      <c r="E15" s="17" t="n">
        <f aca="false">COUNTIFS('Example Log'!C2:C31,$A15,'Example Log'!I2:I31,"Can't tell")</f>
        <v>0</v>
      </c>
      <c r="F15" s="17" t="n">
        <f aca="false">SUM(B15:E15)</f>
        <v>1</v>
      </c>
    </row>
    <row r="16" customFormat="false" ht="15" hidden="false" customHeight="false" outlineLevel="0" collapsed="false">
      <c r="A16" s="17" t="s">
        <v>48</v>
      </c>
      <c r="B16" s="17" t="n">
        <f aca="false">COUNTIFS('Example Log'!C2:C31,$A16,'Example Log'!I2:I31,"Supported")</f>
        <v>0</v>
      </c>
      <c r="C16" s="17" t="n">
        <f aca="false">COUNTIFS('Example Log'!C2:C31,$A16,'Example Log'!I2:I31,"Not supported")</f>
        <v>0</v>
      </c>
      <c r="D16" s="17" t="n">
        <f aca="false">COUNTIFS('Example Log'!C2:C31,$A16,'Example Log'!I2:I31,"Mixed")</f>
        <v>0</v>
      </c>
      <c r="E16" s="17" t="n">
        <f aca="false">COUNTIFS('Example Log'!C2:C31,$A16,'Example Log'!I2:I31,"Can't tell")</f>
        <v>1</v>
      </c>
      <c r="F16" s="17" t="n">
        <f aca="false">SUM(B16:E16)</f>
        <v>1</v>
      </c>
    </row>
    <row r="17" customFormat="false" ht="15" hidden="false" customHeight="false" outlineLevel="0" collapsed="false">
      <c r="A17" s="17" t="s">
        <v>49</v>
      </c>
      <c r="B17" s="17" t="n">
        <f aca="false">COUNTIFS('Example Log'!C2:C31,$A17,'Example Log'!I2:I31,"Supported")</f>
        <v>0</v>
      </c>
      <c r="C17" s="17" t="n">
        <f aca="false">COUNTIFS('Example Log'!C2:C31,$A17,'Example Log'!I2:I31,"Not supported")</f>
        <v>0</v>
      </c>
      <c r="D17" s="17" t="n">
        <f aca="false">COUNTIFS('Example Log'!C2:C31,$A17,'Example Log'!I2:I31,"Mixed")</f>
        <v>0</v>
      </c>
      <c r="E17" s="17" t="n">
        <f aca="false">COUNTIFS('Example Log'!C2:C31,$A17,'Example Log'!I2:I31,"Can't tell")</f>
        <v>0</v>
      </c>
      <c r="F17" s="17" t="n">
        <f aca="false">SUM(B17:E17)</f>
        <v>0</v>
      </c>
    </row>
    <row r="19" customFormat="false" ht="15" hidden="false" customHeight="false" outlineLevel="0" collapsed="false">
      <c r="A19" s="18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2026-10-10T05:54:16Z</dcterms:created>
  <dc:creator>openpyxl</dc:creator>
  <dc:description/>
  <dc:language>en-US</dc:language>
  <cp:lastModifiedBy/>
  <dcterms:modified xsi:type="dcterms:W3CDTF">2026-10-10T05:54:19Z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