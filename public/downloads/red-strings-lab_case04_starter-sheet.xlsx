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own" sheetId="2" state="visible" r:id="rId4"/>
    <sheet name="Charts" sheetId="3" state="visible" r:id="rId5"/>
    <sheet name="Chance" sheetId="4" state="visible" r:id="rId6"/>
    <sheet name="Your Turn" sheetId="5" state="visible" r:id="rId7"/>
    <sheet name="Answer Ke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<sst xmlns="http://schemas.openxmlformats.org/spreadsheetml/2006/main" count="81" uniqueCount="65">
  <si>
    <t xml:space="preserve">RED STRINGS LAB · CASE 04 · Correlation Isn't Guilty — Starter Sheet</t>
  </si>
  <si>
    <t xml:space="preserve">Every dataset is hiding something.</t>
  </si>
  <si>
    <t xml:space="preserve">⚠ ALL data here is MADE UP for teaching. The 'town' is imaginary. The 'chance' numbers are random numbers made by a computer.</t>
  </si>
  <si>
    <t xml:space="preserve">TABS</t>
  </si>
  <si>
    <t xml:space="preserve">• Town — 30 made-up days: temperature, ice cream sales, sunburn cases (sorted from coolest to hottest day).</t>
  </si>
  <si>
    <t xml:space="preserve">• Charts — three scatter charts with trendlines.</t>
  </si>
  <si>
    <t xml:space="preserve">• Chance — 8 columns of pure random numbers, 10 rows, plus a table of all 28 pairs' correlations. Nothing here is connected.</t>
  </si>
  <si>
    <t xml:space="preserve">• Your Turn — your suspect log.</t>
  </si>
  <si>
    <t xml:space="preserve">• Answer Key — the numbers behind the video. Try it first.</t>
  </si>
  <si>
    <t xml:space="preserve">MISSION</t>
  </si>
  <si>
    <t xml:space="preserve">1. Take the data you collected in Case 1 (or any data you may use) and find two columns that move together.</t>
  </si>
  <si>
    <t xml:space="preserve">2. Ask three questions: could a THIRD thing cause both? Could it be REVERSED? Could it be CHANCE?</t>
  </si>
  <si>
    <t xml:space="preserve">3. Write the most honest sentence you can: what the data shows, and what it cannot prove.</t>
  </si>
  <si>
    <t xml:space="preserve">4. No names or personal details in anything you share.</t>
  </si>
  <si>
    <t xml:space="preserve">Not affiliated with Google or any tool shown. Free to use for learning. Terms checked: [add date].</t>
  </si>
  <si>
    <t xml:space="preserve">Day (coolest → hottest)</t>
  </si>
  <si>
    <t xml:space="preserve">Temperature (°C)</t>
  </si>
  <si>
    <t xml:space="preserve">Ice cream sales (units)</t>
  </si>
  <si>
    <t xml:space="preserve">Sunburn cases</t>
  </si>
  <si>
    <t xml:space="preserve">Made-up data for an imaginary seaside town. Blue = typed-in inputs. Rows 2–11 = 10 coolest days, rows 22–31 = 10 hottest days.</t>
  </si>
  <si>
    <t xml:space="preserve">Three charts. One hidden suspect.</t>
  </si>
  <si>
    <t xml:space="preserve">Socks lost</t>
  </si>
  <si>
    <t xml:space="preserve">Cat videos watched</t>
  </si>
  <si>
    <t xml:space="preserve">Pizza slices</t>
  </si>
  <si>
    <t xml:space="preserve">Steps walked (100s)</t>
  </si>
  <si>
    <t xml:space="preserve">Homework minutes (10s)</t>
  </si>
  <si>
    <t xml:space="preserve">Clouds counted</t>
  </si>
  <si>
    <t xml:space="preserve">Songs skipped</t>
  </si>
  <si>
    <t xml:space="preserve">Cups of tea</t>
  </si>
  <si>
    <t xml:space="preserve">Random whole numbers from 1 to 20, made by a computer. Nothing here is connected to anything.</t>
  </si>
  <si>
    <t xml:space="preserve">CORRELATION OF EVERY PAIR (28 pairs). Look for the darkest cells.</t>
  </si>
  <si>
    <t xml:space="preserve">Two columns that move together</t>
  </si>
  <si>
    <t xml:space="preserve">Could a THIRD thing cause both?</t>
  </si>
  <si>
    <t xml:space="preserve">Could it be REVERSED?</t>
  </si>
  <si>
    <t xml:space="preserve">Could it be CHANCE? (how many pairs did I try? how many rows?)</t>
  </si>
  <si>
    <t xml:space="preserve">My honest sentence (shows… but cannot prove…)</t>
  </si>
  <si>
    <t xml:space="preserve">EXAMPLE: ice cream sales and sunburns</t>
  </si>
  <si>
    <t xml:space="preserve">Yes: hot weather</t>
  </si>
  <si>
    <t xml:space="preserve">Unlikely</t>
  </si>
  <si>
    <t xml:space="preserve">Only 2 columns tried, 30 days: unlikely chance</t>
  </si>
  <si>
    <t xml:space="preserve">Sales and sunburns rise together, but this cannot prove ice cream causes sunburn.</t>
  </si>
  <si>
    <t xml:space="preserve">Yellow = yours to fill. Delete the grey example row. No names or personal details.</t>
  </si>
  <si>
    <t xml:space="preserve">ANSWER KEY (made-up data) — try it yourself first</t>
  </si>
  <si>
    <t xml:space="preserve">What we calculate</t>
  </si>
  <si>
    <t xml:space="preserve">Result</t>
  </si>
  <si>
    <t xml:space="preserve">Why it matters</t>
  </si>
  <si>
    <t xml:space="preserve">Ice cream vs sunburn, all 30 days</t>
  </si>
  <si>
    <t xml:space="preserve">Strong. Ice cream looks guilty</t>
  </si>
  <si>
    <t xml:space="preserve">Temperature vs ice cream</t>
  </si>
  <si>
    <t xml:space="preserve">Strong: hot days sell more</t>
  </si>
  <si>
    <t xml:space="preserve">Temperature vs sunburn</t>
  </si>
  <si>
    <t xml:space="preserve">Strong: hot days burn more</t>
  </si>
  <si>
    <t xml:space="preserve">Ice cream vs sunburn, temperature's influence removed</t>
  </si>
  <si>
    <t xml:space="preserve">Partial correlation. The link nearly vanishes</t>
  </si>
  <si>
    <t xml:space="preserve">Ice cream vs sunburn, 10 coolest days only</t>
  </si>
  <si>
    <t xml:space="preserve">Compare days with similar weather: no real link</t>
  </si>
  <si>
    <t xml:space="preserve">Ice cream vs sunburn, 10 hottest days only</t>
  </si>
  <si>
    <t xml:space="preserve">Same story on hot days</t>
  </si>
  <si>
    <t xml:space="preserve">Chance: number of pairs checked</t>
  </si>
  <si>
    <t xml:space="preserve">8 columns make 28 pairs</t>
  </si>
  <si>
    <t xml:space="preserve">Chance: strongest positive pair</t>
  </si>
  <si>
    <t xml:space="preserve">Random numbers, yet look at it. (9th largest, because the 8 diagonal cells are 1)</t>
  </si>
  <si>
    <t xml:space="preserve">Chance: strongest negative pair</t>
  </si>
  <si>
    <t xml:space="preserve">Also from random numbers</t>
  </si>
  <si>
    <t xml:space="preserve">Reminder: a link is a lead, not proof. Ask: third thing? reversed? chance?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</si>
</sst>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"/>
    <numFmt numFmtId="167" formatCode="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213D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b val="true"/>
      <sz val="11"/>
      <color rgb="FFB00020"/>
      <name val="Arial"/>
      <family val="0"/>
      <charset val="1"/>
    </font>
    <font>
      <b val="true"/>
      <sz val="12"/>
      <color rgb="FF14213D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4"/>
      <color rgb="FF14213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14213D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14213D"/>
      <name val="Arial"/>
      <family val="0"/>
      <charset val="1"/>
    </font>
    <font>
      <sz val="10"/>
      <color rgb="FF808080"/>
      <name val="Arial"/>
      <family val="0"/>
      <charset val="1"/>
    </font>
    <font>
      <i val="true"/>
      <sz val="11"/>
      <color rgb="FFB0002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1) Ice cream sales vs sunburn cases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4213d"/>
            </a:solidFill>
            <a:ln w="47520">
              <a:noFill/>
            </a:ln>
          </c:spPr>
          <c:marker>
            <c:symbol val="circle"/>
            <c:size val="7"/>
            <c:spPr>
              <a:solidFill>
                <a:srgbClr val="14213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xVal>
            <c:numRef>
              <c:f>Town!$C$2:$C$31</c:f>
              <c:numCache>
                <c:formatCode>General</c:formatCode>
                <c:ptCount val="30"/>
                <c:pt idx="0">
                  <c:v>58</c:v>
                </c:pt>
                <c:pt idx="1">
                  <c:v>70</c:v>
                </c:pt>
                <c:pt idx="2">
                  <c:v>68</c:v>
                </c:pt>
                <c:pt idx="3">
                  <c:v>66</c:v>
                </c:pt>
                <c:pt idx="4">
                  <c:v>77</c:v>
                </c:pt>
                <c:pt idx="5">
                  <c:v>73</c:v>
                </c:pt>
                <c:pt idx="6">
                  <c:v>79</c:v>
                </c:pt>
                <c:pt idx="7">
                  <c:v>85</c:v>
                </c:pt>
                <c:pt idx="8">
                  <c:v>76</c:v>
                </c:pt>
                <c:pt idx="9">
                  <c:v>82</c:v>
                </c:pt>
                <c:pt idx="10">
                  <c:v>85</c:v>
                </c:pt>
                <c:pt idx="11">
                  <c:v>95</c:v>
                </c:pt>
                <c:pt idx="12">
                  <c:v>87</c:v>
                </c:pt>
                <c:pt idx="13">
                  <c:v>94</c:v>
                </c:pt>
                <c:pt idx="14">
                  <c:v>93</c:v>
                </c:pt>
                <c:pt idx="15">
                  <c:v>100</c:v>
                </c:pt>
                <c:pt idx="16">
                  <c:v>96</c:v>
                </c:pt>
                <c:pt idx="17">
                  <c:v>91</c:v>
                </c:pt>
                <c:pt idx="18">
                  <c:v>91</c:v>
                </c:pt>
                <c:pt idx="19">
                  <c:v>109</c:v>
                </c:pt>
                <c:pt idx="20">
                  <c:v>110</c:v>
                </c:pt>
                <c:pt idx="21">
                  <c:v>98</c:v>
                </c:pt>
                <c:pt idx="22">
                  <c:v>115</c:v>
                </c:pt>
                <c:pt idx="23">
                  <c:v>108</c:v>
                </c:pt>
                <c:pt idx="24">
                  <c:v>105</c:v>
                </c:pt>
                <c:pt idx="25">
                  <c:v>114</c:v>
                </c:pt>
                <c:pt idx="26">
                  <c:v>110</c:v>
                </c:pt>
                <c:pt idx="27">
                  <c:v>126</c:v>
                </c:pt>
                <c:pt idx="28">
                  <c:v>114</c:v>
                </c:pt>
                <c:pt idx="29">
                  <c:v>111</c:v>
                </c:pt>
              </c:numCache>
            </c:numRef>
          </c:xVal>
          <c:yVal>
            <c:numRef>
              <c:f>Town!$D$2:$D$31</c:f>
              <c:numCache>
                <c:formatCode>General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6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7</c:v>
                </c:pt>
                <c:pt idx="11">
                  <c:v>6</c:v>
                </c:pt>
                <c:pt idx="12">
                  <c:v>6</c:v>
                </c:pt>
                <c:pt idx="13">
                  <c:v>8</c:v>
                </c:pt>
                <c:pt idx="14">
                  <c:v>5</c:v>
                </c:pt>
                <c:pt idx="15">
                  <c:v>9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11</c:v>
                </c:pt>
                <c:pt idx="20">
                  <c:v>8</c:v>
                </c:pt>
                <c:pt idx="21">
                  <c:v>12</c:v>
                </c:pt>
                <c:pt idx="22">
                  <c:v>7</c:v>
                </c:pt>
                <c:pt idx="23">
                  <c:v>8</c:v>
                </c:pt>
                <c:pt idx="24">
                  <c:v>6</c:v>
                </c:pt>
                <c:pt idx="25">
                  <c:v>11</c:v>
                </c:pt>
                <c:pt idx="26">
                  <c:v>9</c:v>
                </c:pt>
                <c:pt idx="27">
                  <c:v>11</c:v>
                </c:pt>
                <c:pt idx="28">
                  <c:v>10</c:v>
                </c:pt>
                <c:pt idx="29">
                  <c:v>11</c:v>
                </c:pt>
              </c:numCache>
            </c:numRef>
          </c:yVal>
          <c:smooth val="1"/>
        </c:ser>
        <c:axId val="59298391"/>
        <c:axId val="59642037"/>
      </c:scatterChart>
      <c:valAx>
        <c:axId val="5929839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Ice cream 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642037"/>
        <c:crosses val="autoZero"/>
        <c:crossBetween val="midCat"/>
      </c:valAx>
      <c:valAx>
        <c:axId val="596420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Sunburn cases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29839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2) Temperature vs ice cream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4213d"/>
            </a:solidFill>
            <a:ln w="47520">
              <a:noFill/>
            </a:ln>
          </c:spPr>
          <c:marker>
            <c:symbol val="circle"/>
            <c:size val="7"/>
            <c:spPr>
              <a:solidFill>
                <a:srgbClr val="14213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xVal>
            <c:numRef>
              <c:f>Town!$B$2:$B$31</c:f>
              <c:numCache>
                <c:formatCode>0.0</c:formatCode>
                <c:ptCount val="30"/>
                <c:pt idx="0">
                  <c:v>18.1</c:v>
                </c:pt>
                <c:pt idx="1">
                  <c:v>18.4</c:v>
                </c:pt>
                <c:pt idx="2">
                  <c:v>18.6</c:v>
                </c:pt>
                <c:pt idx="3">
                  <c:v>18.8</c:v>
                </c:pt>
                <c:pt idx="4">
                  <c:v>20.9</c:v>
                </c:pt>
                <c:pt idx="5">
                  <c:v>20.9</c:v>
                </c:pt>
                <c:pt idx="6">
                  <c:v>22.8</c:v>
                </c:pt>
                <c:pt idx="7">
                  <c:v>23.1</c:v>
                </c:pt>
                <c:pt idx="8">
                  <c:v>23.3</c:v>
                </c:pt>
                <c:pt idx="9">
                  <c:v>24.2</c:v>
                </c:pt>
                <c:pt idx="10">
                  <c:v>26.5</c:v>
                </c:pt>
                <c:pt idx="11">
                  <c:v>26.7</c:v>
                </c:pt>
                <c:pt idx="12">
                  <c:v>26.7</c:v>
                </c:pt>
                <c:pt idx="13">
                  <c:v>28.7</c:v>
                </c:pt>
                <c:pt idx="14">
                  <c:v>28.8</c:v>
                </c:pt>
                <c:pt idx="15">
                  <c:v>28.9</c:v>
                </c:pt>
                <c:pt idx="16">
                  <c:v>29</c:v>
                </c:pt>
                <c:pt idx="17">
                  <c:v>29.8</c:v>
                </c:pt>
                <c:pt idx="18">
                  <c:v>29.9</c:v>
                </c:pt>
                <c:pt idx="19">
                  <c:v>31.3</c:v>
                </c:pt>
                <c:pt idx="20">
                  <c:v>31.6</c:v>
                </c:pt>
                <c:pt idx="21">
                  <c:v>31.6</c:v>
                </c:pt>
                <c:pt idx="22">
                  <c:v>31.7</c:v>
                </c:pt>
                <c:pt idx="23">
                  <c:v>32.1</c:v>
                </c:pt>
                <c:pt idx="24">
                  <c:v>32.5</c:v>
                </c:pt>
                <c:pt idx="25">
                  <c:v>33</c:v>
                </c:pt>
                <c:pt idx="26">
                  <c:v>33.2</c:v>
                </c:pt>
                <c:pt idx="27">
                  <c:v>33.7</c:v>
                </c:pt>
                <c:pt idx="28">
                  <c:v>33.8</c:v>
                </c:pt>
                <c:pt idx="29">
                  <c:v>34</c:v>
                </c:pt>
              </c:numCache>
            </c:numRef>
          </c:xVal>
          <c:yVal>
            <c:numRef>
              <c:f>Town!$C$2:$C$31</c:f>
              <c:numCache>
                <c:formatCode>General</c:formatCode>
                <c:ptCount val="30"/>
                <c:pt idx="0">
                  <c:v>58</c:v>
                </c:pt>
                <c:pt idx="1">
                  <c:v>70</c:v>
                </c:pt>
                <c:pt idx="2">
                  <c:v>68</c:v>
                </c:pt>
                <c:pt idx="3">
                  <c:v>66</c:v>
                </c:pt>
                <c:pt idx="4">
                  <c:v>77</c:v>
                </c:pt>
                <c:pt idx="5">
                  <c:v>73</c:v>
                </c:pt>
                <c:pt idx="6">
                  <c:v>79</c:v>
                </c:pt>
                <c:pt idx="7">
                  <c:v>85</c:v>
                </c:pt>
                <c:pt idx="8">
                  <c:v>76</c:v>
                </c:pt>
                <c:pt idx="9">
                  <c:v>82</c:v>
                </c:pt>
                <c:pt idx="10">
                  <c:v>85</c:v>
                </c:pt>
                <c:pt idx="11">
                  <c:v>95</c:v>
                </c:pt>
                <c:pt idx="12">
                  <c:v>87</c:v>
                </c:pt>
                <c:pt idx="13">
                  <c:v>94</c:v>
                </c:pt>
                <c:pt idx="14">
                  <c:v>93</c:v>
                </c:pt>
                <c:pt idx="15">
                  <c:v>100</c:v>
                </c:pt>
                <c:pt idx="16">
                  <c:v>96</c:v>
                </c:pt>
                <c:pt idx="17">
                  <c:v>91</c:v>
                </c:pt>
                <c:pt idx="18">
                  <c:v>91</c:v>
                </c:pt>
                <c:pt idx="19">
                  <c:v>109</c:v>
                </c:pt>
                <c:pt idx="20">
                  <c:v>110</c:v>
                </c:pt>
                <c:pt idx="21">
                  <c:v>98</c:v>
                </c:pt>
                <c:pt idx="22">
                  <c:v>115</c:v>
                </c:pt>
                <c:pt idx="23">
                  <c:v>108</c:v>
                </c:pt>
                <c:pt idx="24">
                  <c:v>105</c:v>
                </c:pt>
                <c:pt idx="25">
                  <c:v>114</c:v>
                </c:pt>
                <c:pt idx="26">
                  <c:v>110</c:v>
                </c:pt>
                <c:pt idx="27">
                  <c:v>126</c:v>
                </c:pt>
                <c:pt idx="28">
                  <c:v>114</c:v>
                </c:pt>
                <c:pt idx="29">
                  <c:v>111</c:v>
                </c:pt>
              </c:numCache>
            </c:numRef>
          </c:yVal>
          <c:smooth val="1"/>
        </c:ser>
        <c:axId val="86809835"/>
        <c:axId val="67536223"/>
      </c:scatterChart>
      <c:valAx>
        <c:axId val="8680983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Temperature (°C)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536223"/>
        <c:crosses val="autoZero"/>
        <c:crossBetween val="midCat"/>
      </c:valAx>
      <c:valAx>
        <c:axId val="675362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Ice cream 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80983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3) Temperature vs sunburn cases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4213d"/>
            </a:solidFill>
            <a:ln w="47520">
              <a:noFill/>
            </a:ln>
          </c:spPr>
          <c:marker>
            <c:symbol val="circle"/>
            <c:size val="7"/>
            <c:spPr>
              <a:solidFill>
                <a:srgbClr val="14213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xVal>
            <c:numRef>
              <c:f>Town!$B$2:$B$31</c:f>
              <c:numCache>
                <c:formatCode>0.0</c:formatCode>
                <c:ptCount val="30"/>
                <c:pt idx="0">
                  <c:v>18.1</c:v>
                </c:pt>
                <c:pt idx="1">
                  <c:v>18.4</c:v>
                </c:pt>
                <c:pt idx="2">
                  <c:v>18.6</c:v>
                </c:pt>
                <c:pt idx="3">
                  <c:v>18.8</c:v>
                </c:pt>
                <c:pt idx="4">
                  <c:v>20.9</c:v>
                </c:pt>
                <c:pt idx="5">
                  <c:v>20.9</c:v>
                </c:pt>
                <c:pt idx="6">
                  <c:v>22.8</c:v>
                </c:pt>
                <c:pt idx="7">
                  <c:v>23.1</c:v>
                </c:pt>
                <c:pt idx="8">
                  <c:v>23.3</c:v>
                </c:pt>
                <c:pt idx="9">
                  <c:v>24.2</c:v>
                </c:pt>
                <c:pt idx="10">
                  <c:v>26.5</c:v>
                </c:pt>
                <c:pt idx="11">
                  <c:v>26.7</c:v>
                </c:pt>
                <c:pt idx="12">
                  <c:v>26.7</c:v>
                </c:pt>
                <c:pt idx="13">
                  <c:v>28.7</c:v>
                </c:pt>
                <c:pt idx="14">
                  <c:v>28.8</c:v>
                </c:pt>
                <c:pt idx="15">
                  <c:v>28.9</c:v>
                </c:pt>
                <c:pt idx="16">
                  <c:v>29</c:v>
                </c:pt>
                <c:pt idx="17">
                  <c:v>29.8</c:v>
                </c:pt>
                <c:pt idx="18">
                  <c:v>29.9</c:v>
                </c:pt>
                <c:pt idx="19">
                  <c:v>31.3</c:v>
                </c:pt>
                <c:pt idx="20">
                  <c:v>31.6</c:v>
                </c:pt>
                <c:pt idx="21">
                  <c:v>31.6</c:v>
                </c:pt>
                <c:pt idx="22">
                  <c:v>31.7</c:v>
                </c:pt>
                <c:pt idx="23">
                  <c:v>32.1</c:v>
                </c:pt>
                <c:pt idx="24">
                  <c:v>32.5</c:v>
                </c:pt>
                <c:pt idx="25">
                  <c:v>33</c:v>
                </c:pt>
                <c:pt idx="26">
                  <c:v>33.2</c:v>
                </c:pt>
                <c:pt idx="27">
                  <c:v>33.7</c:v>
                </c:pt>
                <c:pt idx="28">
                  <c:v>33.8</c:v>
                </c:pt>
                <c:pt idx="29">
                  <c:v>34</c:v>
                </c:pt>
              </c:numCache>
            </c:numRef>
          </c:xVal>
          <c:yVal>
            <c:numRef>
              <c:f>Town!$D$2:$D$31</c:f>
              <c:numCache>
                <c:formatCode>General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6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7</c:v>
                </c:pt>
                <c:pt idx="11">
                  <c:v>6</c:v>
                </c:pt>
                <c:pt idx="12">
                  <c:v>6</c:v>
                </c:pt>
                <c:pt idx="13">
                  <c:v>8</c:v>
                </c:pt>
                <c:pt idx="14">
                  <c:v>5</c:v>
                </c:pt>
                <c:pt idx="15">
                  <c:v>9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11</c:v>
                </c:pt>
                <c:pt idx="20">
                  <c:v>8</c:v>
                </c:pt>
                <c:pt idx="21">
                  <c:v>12</c:v>
                </c:pt>
                <c:pt idx="22">
                  <c:v>7</c:v>
                </c:pt>
                <c:pt idx="23">
                  <c:v>8</c:v>
                </c:pt>
                <c:pt idx="24">
                  <c:v>6</c:v>
                </c:pt>
                <c:pt idx="25">
                  <c:v>11</c:v>
                </c:pt>
                <c:pt idx="26">
                  <c:v>9</c:v>
                </c:pt>
                <c:pt idx="27">
                  <c:v>11</c:v>
                </c:pt>
                <c:pt idx="28">
                  <c:v>10</c:v>
                </c:pt>
                <c:pt idx="29">
                  <c:v>11</c:v>
                </c:pt>
              </c:numCache>
            </c:numRef>
          </c:yVal>
          <c:smooth val="1"/>
        </c:ser>
        <c:axId val="44621608"/>
        <c:axId val="53749396"/>
      </c:scatterChart>
      <c:valAx>
        <c:axId val="4462160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Temperature (°C)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749396"/>
        <c:crosses val="autoZero"/>
        <c:crossBetween val="midCat"/>
      </c:valAx>
      <c:valAx>
        <c:axId val="537493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Sunburn cases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62160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160560</xdr:rowOff>
    </xdr:from>
    <xdr:to>
      <xdr:col>9</xdr:col>
      <xdr:colOff>255960</xdr:colOff>
      <xdr:row>17</xdr:row>
      <xdr:rowOff>172080</xdr:rowOff>
    </xdr:to>
    <xdr:graphicFrame>
      <xdr:nvGraphicFramePr>
        <xdr:cNvPr id="0" name="Chart 1"/>
        <xdr:cNvGraphicFramePr/>
      </xdr:nvGraphicFramePr>
      <xdr:xfrm>
        <a:off x="0" y="3808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</xdr:row>
      <xdr:rowOff>160560</xdr:rowOff>
    </xdr:from>
    <xdr:to>
      <xdr:col>19</xdr:col>
      <xdr:colOff>255960</xdr:colOff>
      <xdr:row>17</xdr:row>
      <xdr:rowOff>172080</xdr:rowOff>
    </xdr:to>
    <xdr:graphicFrame>
      <xdr:nvGraphicFramePr>
        <xdr:cNvPr id="1" name="Chart 2"/>
        <xdr:cNvGraphicFramePr/>
      </xdr:nvGraphicFramePr>
      <xdr:xfrm>
        <a:off x="6114960" y="3808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19</xdr:row>
      <xdr:rowOff>160560</xdr:rowOff>
    </xdr:from>
    <xdr:to>
      <xdr:col>9</xdr:col>
      <xdr:colOff>255960</xdr:colOff>
      <xdr:row>35</xdr:row>
      <xdr:rowOff>172080</xdr:rowOff>
    </xdr:to>
    <xdr:graphicFrame>
      <xdr:nvGraphicFramePr>
        <xdr:cNvPr id="2" name="Chart 3"/>
        <xdr:cNvGraphicFramePr/>
      </xdr:nvGraphicFramePr>
      <xdr:xfrm>
        <a:off x="0" y="38098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5"/>
  </cols>
  <sheetData>
    <row r="2" customFormat="false" ht="35.8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26.85" hidden="false" customHeight="false" outlineLevel="0" collapsed="false">
      <c r="B5" s="4" t="s">
        <v>2</v>
      </c>
    </row>
    <row r="6" customFormat="false" ht="15" hidden="false" customHeight="false" outlineLevel="0" collapsed="false">
      <c r="B6" s="3"/>
    </row>
    <row r="7" customFormat="false" ht="15" hidden="false" customHeight="false" outlineLevel="0" collapsed="false">
      <c r="B7" s="5" t="s">
        <v>3</v>
      </c>
    </row>
    <row r="8" customFormat="false" ht="26.85" hidden="false" customHeight="false" outlineLevel="0" collapsed="false">
      <c r="B8" s="6" t="s">
        <v>4</v>
      </c>
    </row>
    <row r="9" customFormat="false" ht="15" hidden="false" customHeight="false" outlineLevel="0" collapsed="false">
      <c r="B9" s="6" t="s">
        <v>5</v>
      </c>
    </row>
    <row r="10" customFormat="false" ht="26.85" hidden="false" customHeight="false" outlineLevel="0" collapsed="false">
      <c r="B10" s="6" t="s">
        <v>6</v>
      </c>
    </row>
    <row r="11" customFormat="false" ht="15" hidden="false" customHeight="false" outlineLevel="0" collapsed="false">
      <c r="B11" s="6" t="s">
        <v>7</v>
      </c>
    </row>
    <row r="12" customFormat="false" ht="15" hidden="false" customHeight="false" outlineLevel="0" collapsed="false">
      <c r="B12" s="6" t="s">
        <v>8</v>
      </c>
    </row>
    <row r="13" customFormat="false" ht="15" hidden="false" customHeight="false" outlineLevel="0" collapsed="false">
      <c r="B13" s="3"/>
    </row>
    <row r="14" customFormat="false" ht="15" hidden="false" customHeight="false" outlineLevel="0" collapsed="false">
      <c r="B14" s="5" t="s">
        <v>9</v>
      </c>
    </row>
    <row r="15" customFormat="false" ht="26.85" hidden="false" customHeight="false" outlineLevel="0" collapsed="false">
      <c r="B15" s="6" t="s">
        <v>10</v>
      </c>
    </row>
    <row r="16" customFormat="false" ht="26.85" hidden="false" customHeight="false" outlineLevel="0" collapsed="false">
      <c r="B16" s="6" t="s">
        <v>11</v>
      </c>
    </row>
    <row r="17" customFormat="false" ht="15" hidden="false" customHeight="false" outlineLevel="0" collapsed="false">
      <c r="B17" s="6" t="s">
        <v>12</v>
      </c>
    </row>
    <row r="18" customFormat="false" ht="15" hidden="false" customHeight="false" outlineLevel="0" collapsed="false">
      <c r="B18" s="6" t="s">
        <v>13</v>
      </c>
    </row>
    <row r="19" customFormat="false" ht="15" hidden="false" customHeight="false" outlineLevel="0" collapsed="false">
      <c r="B19" s="3"/>
    </row>
    <row r="20" customFormat="false" ht="15" hidden="false" customHeight="false" outlineLevel="0" collapsed="false">
      <c r="B20" s="7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6"/>
  </cols>
  <sheetData>
    <row r="1" customFormat="false" ht="42" hidden="false" customHeight="true" outlineLevel="0" collapsed="false">
      <c r="A1" s="8" t="s">
        <v>15</v>
      </c>
      <c r="B1" s="8" t="s">
        <v>16</v>
      </c>
      <c r="C1" s="8" t="s">
        <v>17</v>
      </c>
      <c r="D1" s="8" t="s">
        <v>18</v>
      </c>
      <c r="F1" s="9" t="s">
        <v>19</v>
      </c>
    </row>
    <row r="2" customFormat="false" ht="15" hidden="false" customHeight="false" outlineLevel="0" collapsed="false">
      <c r="A2" s="10" t="n">
        <v>1</v>
      </c>
      <c r="B2" s="11" t="n">
        <v>18.1</v>
      </c>
      <c r="C2" s="10" t="n">
        <v>58</v>
      </c>
      <c r="D2" s="10" t="n">
        <v>3</v>
      </c>
    </row>
    <row r="3" customFormat="false" ht="15" hidden="false" customHeight="false" outlineLevel="0" collapsed="false">
      <c r="A3" s="10" t="n">
        <v>2</v>
      </c>
      <c r="B3" s="11" t="n">
        <v>18.4</v>
      </c>
      <c r="C3" s="10" t="n">
        <v>70</v>
      </c>
      <c r="D3" s="10" t="n">
        <v>0</v>
      </c>
    </row>
    <row r="4" customFormat="false" ht="15" hidden="false" customHeight="false" outlineLevel="0" collapsed="false">
      <c r="A4" s="10" t="n">
        <v>3</v>
      </c>
      <c r="B4" s="11" t="n">
        <v>18.6</v>
      </c>
      <c r="C4" s="10" t="n">
        <v>68</v>
      </c>
      <c r="D4" s="10" t="n">
        <v>6</v>
      </c>
    </row>
    <row r="5" customFormat="false" ht="15" hidden="false" customHeight="false" outlineLevel="0" collapsed="false">
      <c r="A5" s="10" t="n">
        <v>4</v>
      </c>
      <c r="B5" s="11" t="n">
        <v>18.8</v>
      </c>
      <c r="C5" s="10" t="n">
        <v>66</v>
      </c>
      <c r="D5" s="10" t="n">
        <v>2</v>
      </c>
    </row>
    <row r="6" customFormat="false" ht="15" hidden="false" customHeight="false" outlineLevel="0" collapsed="false">
      <c r="A6" s="10" t="n">
        <v>5</v>
      </c>
      <c r="B6" s="11" t="n">
        <v>20.9</v>
      </c>
      <c r="C6" s="10" t="n">
        <v>77</v>
      </c>
      <c r="D6" s="10" t="n">
        <v>3</v>
      </c>
    </row>
    <row r="7" customFormat="false" ht="15" hidden="false" customHeight="false" outlineLevel="0" collapsed="false">
      <c r="A7" s="10" t="n">
        <v>6</v>
      </c>
      <c r="B7" s="11" t="n">
        <v>20.9</v>
      </c>
      <c r="C7" s="10" t="n">
        <v>73</v>
      </c>
      <c r="D7" s="10" t="n">
        <v>2</v>
      </c>
    </row>
    <row r="8" customFormat="false" ht="15" hidden="false" customHeight="false" outlineLevel="0" collapsed="false">
      <c r="A8" s="10" t="n">
        <v>7</v>
      </c>
      <c r="B8" s="11" t="n">
        <v>22.8</v>
      </c>
      <c r="C8" s="10" t="n">
        <v>79</v>
      </c>
      <c r="D8" s="10" t="n">
        <v>3</v>
      </c>
    </row>
    <row r="9" customFormat="false" ht="15" hidden="false" customHeight="false" outlineLevel="0" collapsed="false">
      <c r="A9" s="10" t="n">
        <v>8</v>
      </c>
      <c r="B9" s="11" t="n">
        <v>23.1</v>
      </c>
      <c r="C9" s="10" t="n">
        <v>85</v>
      </c>
      <c r="D9" s="10" t="n">
        <v>3</v>
      </c>
    </row>
    <row r="10" customFormat="false" ht="15" hidden="false" customHeight="false" outlineLevel="0" collapsed="false">
      <c r="A10" s="10" t="n">
        <v>9</v>
      </c>
      <c r="B10" s="11" t="n">
        <v>23.3</v>
      </c>
      <c r="C10" s="10" t="n">
        <v>76</v>
      </c>
      <c r="D10" s="10" t="n">
        <v>4</v>
      </c>
    </row>
    <row r="11" customFormat="false" ht="15" hidden="false" customHeight="false" outlineLevel="0" collapsed="false">
      <c r="A11" s="10" t="n">
        <v>10</v>
      </c>
      <c r="B11" s="11" t="n">
        <v>24.2</v>
      </c>
      <c r="C11" s="10" t="n">
        <v>82</v>
      </c>
      <c r="D11" s="10" t="n">
        <v>4</v>
      </c>
    </row>
    <row r="12" customFormat="false" ht="15" hidden="false" customHeight="false" outlineLevel="0" collapsed="false">
      <c r="A12" s="10" t="n">
        <v>11</v>
      </c>
      <c r="B12" s="11" t="n">
        <v>26.5</v>
      </c>
      <c r="C12" s="10" t="n">
        <v>85</v>
      </c>
      <c r="D12" s="10" t="n">
        <v>7</v>
      </c>
    </row>
    <row r="13" customFormat="false" ht="15" hidden="false" customHeight="false" outlineLevel="0" collapsed="false">
      <c r="A13" s="10" t="n">
        <v>12</v>
      </c>
      <c r="B13" s="11" t="n">
        <v>26.7</v>
      </c>
      <c r="C13" s="10" t="n">
        <v>95</v>
      </c>
      <c r="D13" s="10" t="n">
        <v>6</v>
      </c>
    </row>
    <row r="14" customFormat="false" ht="15" hidden="false" customHeight="false" outlineLevel="0" collapsed="false">
      <c r="A14" s="10" t="n">
        <v>13</v>
      </c>
      <c r="B14" s="11" t="n">
        <v>26.7</v>
      </c>
      <c r="C14" s="10" t="n">
        <v>87</v>
      </c>
      <c r="D14" s="10" t="n">
        <v>6</v>
      </c>
    </row>
    <row r="15" customFormat="false" ht="15" hidden="false" customHeight="false" outlineLevel="0" collapsed="false">
      <c r="A15" s="10" t="n">
        <v>14</v>
      </c>
      <c r="B15" s="11" t="n">
        <v>28.7</v>
      </c>
      <c r="C15" s="10" t="n">
        <v>94</v>
      </c>
      <c r="D15" s="10" t="n">
        <v>8</v>
      </c>
    </row>
    <row r="16" customFormat="false" ht="15" hidden="false" customHeight="false" outlineLevel="0" collapsed="false">
      <c r="A16" s="10" t="n">
        <v>15</v>
      </c>
      <c r="B16" s="11" t="n">
        <v>28.8</v>
      </c>
      <c r="C16" s="10" t="n">
        <v>93</v>
      </c>
      <c r="D16" s="10" t="n">
        <v>5</v>
      </c>
    </row>
    <row r="17" customFormat="false" ht="15" hidden="false" customHeight="false" outlineLevel="0" collapsed="false">
      <c r="A17" s="10" t="n">
        <v>16</v>
      </c>
      <c r="B17" s="11" t="n">
        <v>28.9</v>
      </c>
      <c r="C17" s="10" t="n">
        <v>100</v>
      </c>
      <c r="D17" s="10" t="n">
        <v>9</v>
      </c>
    </row>
    <row r="18" customFormat="false" ht="15" hidden="false" customHeight="false" outlineLevel="0" collapsed="false">
      <c r="A18" s="10" t="n">
        <v>17</v>
      </c>
      <c r="B18" s="11" t="n">
        <v>29</v>
      </c>
      <c r="C18" s="10" t="n">
        <v>96</v>
      </c>
      <c r="D18" s="10" t="n">
        <v>6</v>
      </c>
    </row>
    <row r="19" customFormat="false" ht="15" hidden="false" customHeight="false" outlineLevel="0" collapsed="false">
      <c r="A19" s="10" t="n">
        <v>18</v>
      </c>
      <c r="B19" s="11" t="n">
        <v>29.8</v>
      </c>
      <c r="C19" s="10" t="n">
        <v>91</v>
      </c>
      <c r="D19" s="10" t="n">
        <v>6</v>
      </c>
    </row>
    <row r="20" customFormat="false" ht="15" hidden="false" customHeight="false" outlineLevel="0" collapsed="false">
      <c r="A20" s="10" t="n">
        <v>19</v>
      </c>
      <c r="B20" s="11" t="n">
        <v>29.9</v>
      </c>
      <c r="C20" s="10" t="n">
        <v>91</v>
      </c>
      <c r="D20" s="10" t="n">
        <v>7</v>
      </c>
    </row>
    <row r="21" customFormat="false" ht="15" hidden="false" customHeight="false" outlineLevel="0" collapsed="false">
      <c r="A21" s="10" t="n">
        <v>20</v>
      </c>
      <c r="B21" s="11" t="n">
        <v>31.3</v>
      </c>
      <c r="C21" s="10" t="n">
        <v>109</v>
      </c>
      <c r="D21" s="10" t="n">
        <v>11</v>
      </c>
    </row>
    <row r="22" customFormat="false" ht="15" hidden="false" customHeight="false" outlineLevel="0" collapsed="false">
      <c r="A22" s="10" t="n">
        <v>21</v>
      </c>
      <c r="B22" s="11" t="n">
        <v>31.6</v>
      </c>
      <c r="C22" s="10" t="n">
        <v>110</v>
      </c>
      <c r="D22" s="10" t="n">
        <v>8</v>
      </c>
    </row>
    <row r="23" customFormat="false" ht="15" hidden="false" customHeight="false" outlineLevel="0" collapsed="false">
      <c r="A23" s="10" t="n">
        <v>22</v>
      </c>
      <c r="B23" s="11" t="n">
        <v>31.6</v>
      </c>
      <c r="C23" s="10" t="n">
        <v>98</v>
      </c>
      <c r="D23" s="10" t="n">
        <v>12</v>
      </c>
    </row>
    <row r="24" customFormat="false" ht="15" hidden="false" customHeight="false" outlineLevel="0" collapsed="false">
      <c r="A24" s="10" t="n">
        <v>23</v>
      </c>
      <c r="B24" s="11" t="n">
        <v>31.7</v>
      </c>
      <c r="C24" s="10" t="n">
        <v>115</v>
      </c>
      <c r="D24" s="10" t="n">
        <v>7</v>
      </c>
    </row>
    <row r="25" customFormat="false" ht="15" hidden="false" customHeight="false" outlineLevel="0" collapsed="false">
      <c r="A25" s="10" t="n">
        <v>24</v>
      </c>
      <c r="B25" s="11" t="n">
        <v>32.1</v>
      </c>
      <c r="C25" s="10" t="n">
        <v>108</v>
      </c>
      <c r="D25" s="10" t="n">
        <v>8</v>
      </c>
    </row>
    <row r="26" customFormat="false" ht="15" hidden="false" customHeight="false" outlineLevel="0" collapsed="false">
      <c r="A26" s="10" t="n">
        <v>25</v>
      </c>
      <c r="B26" s="11" t="n">
        <v>32.5</v>
      </c>
      <c r="C26" s="10" t="n">
        <v>105</v>
      </c>
      <c r="D26" s="10" t="n">
        <v>6</v>
      </c>
    </row>
    <row r="27" customFormat="false" ht="15" hidden="false" customHeight="false" outlineLevel="0" collapsed="false">
      <c r="A27" s="10" t="n">
        <v>26</v>
      </c>
      <c r="B27" s="11" t="n">
        <v>33</v>
      </c>
      <c r="C27" s="10" t="n">
        <v>114</v>
      </c>
      <c r="D27" s="10" t="n">
        <v>11</v>
      </c>
    </row>
    <row r="28" customFormat="false" ht="15" hidden="false" customHeight="false" outlineLevel="0" collapsed="false">
      <c r="A28" s="10" t="n">
        <v>27</v>
      </c>
      <c r="B28" s="11" t="n">
        <v>33.2</v>
      </c>
      <c r="C28" s="10" t="n">
        <v>110</v>
      </c>
      <c r="D28" s="10" t="n">
        <v>9</v>
      </c>
    </row>
    <row r="29" customFormat="false" ht="15" hidden="false" customHeight="false" outlineLevel="0" collapsed="false">
      <c r="A29" s="10" t="n">
        <v>28</v>
      </c>
      <c r="B29" s="11" t="n">
        <v>33.7</v>
      </c>
      <c r="C29" s="10" t="n">
        <v>126</v>
      </c>
      <c r="D29" s="10" t="n">
        <v>11</v>
      </c>
    </row>
    <row r="30" customFormat="false" ht="15" hidden="false" customHeight="false" outlineLevel="0" collapsed="false">
      <c r="A30" s="10" t="n">
        <v>29</v>
      </c>
      <c r="B30" s="11" t="n">
        <v>33.8</v>
      </c>
      <c r="C30" s="10" t="n">
        <v>114</v>
      </c>
      <c r="D30" s="10" t="n">
        <v>10</v>
      </c>
    </row>
    <row r="31" customFormat="false" ht="15" hidden="false" customHeight="false" outlineLevel="0" collapsed="false">
      <c r="A31" s="10" t="n">
        <v>30</v>
      </c>
      <c r="B31" s="11" t="n">
        <v>34</v>
      </c>
      <c r="C31" s="10" t="n">
        <v>111</v>
      </c>
      <c r="D31" s="10" t="n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4"/>
  </cols>
  <sheetData>
    <row r="1" customFormat="false" ht="48" hidden="false" customHeight="true" outlineLevel="0" collapsed="false">
      <c r="A1" s="8" t="s">
        <v>21</v>
      </c>
      <c r="B1" s="8" t="s">
        <v>22</v>
      </c>
      <c r="C1" s="8" t="s">
        <v>23</v>
      </c>
      <c r="D1" s="8" t="s">
        <v>24</v>
      </c>
      <c r="E1" s="8" t="s">
        <v>25</v>
      </c>
      <c r="F1" s="8" t="s">
        <v>26</v>
      </c>
      <c r="G1" s="8" t="s">
        <v>27</v>
      </c>
      <c r="H1" s="8" t="s">
        <v>28</v>
      </c>
    </row>
    <row r="2" customFormat="false" ht="15" hidden="false" customHeight="false" outlineLevel="0" collapsed="false">
      <c r="A2" s="10" t="n">
        <v>9</v>
      </c>
      <c r="B2" s="10" t="n">
        <v>6</v>
      </c>
      <c r="C2" s="10" t="n">
        <v>6</v>
      </c>
      <c r="D2" s="10" t="n">
        <v>18</v>
      </c>
      <c r="E2" s="10" t="n">
        <v>16</v>
      </c>
      <c r="F2" s="10" t="n">
        <v>18</v>
      </c>
      <c r="G2" s="10" t="n">
        <v>8</v>
      </c>
      <c r="H2" s="10" t="n">
        <v>9</v>
      </c>
    </row>
    <row r="3" customFormat="false" ht="15" hidden="false" customHeight="false" outlineLevel="0" collapsed="false">
      <c r="A3" s="10" t="n">
        <v>10</v>
      </c>
      <c r="B3" s="10" t="n">
        <v>14</v>
      </c>
      <c r="C3" s="10" t="n">
        <v>2</v>
      </c>
      <c r="D3" s="10" t="n">
        <v>15</v>
      </c>
      <c r="E3" s="10" t="n">
        <v>16</v>
      </c>
      <c r="F3" s="10" t="n">
        <v>2</v>
      </c>
      <c r="G3" s="10" t="n">
        <v>15</v>
      </c>
      <c r="H3" s="10" t="n">
        <v>2</v>
      </c>
    </row>
    <row r="4" customFormat="false" ht="15" hidden="false" customHeight="false" outlineLevel="0" collapsed="false">
      <c r="A4" s="10" t="n">
        <v>2</v>
      </c>
      <c r="B4" s="10" t="n">
        <v>2</v>
      </c>
      <c r="C4" s="10" t="n">
        <v>5</v>
      </c>
      <c r="D4" s="10" t="n">
        <v>13</v>
      </c>
      <c r="E4" s="10" t="n">
        <v>18</v>
      </c>
      <c r="F4" s="10" t="n">
        <v>20</v>
      </c>
      <c r="G4" s="10" t="n">
        <v>14</v>
      </c>
      <c r="H4" s="10" t="n">
        <v>18</v>
      </c>
    </row>
    <row r="5" customFormat="false" ht="15" hidden="false" customHeight="false" outlineLevel="0" collapsed="false">
      <c r="A5" s="10" t="n">
        <v>8</v>
      </c>
      <c r="B5" s="10" t="n">
        <v>12</v>
      </c>
      <c r="C5" s="10" t="n">
        <v>18</v>
      </c>
      <c r="D5" s="10" t="n">
        <v>19</v>
      </c>
      <c r="E5" s="10" t="n">
        <v>1</v>
      </c>
      <c r="F5" s="10" t="n">
        <v>20</v>
      </c>
      <c r="G5" s="10" t="n">
        <v>19</v>
      </c>
      <c r="H5" s="10" t="n">
        <v>14</v>
      </c>
    </row>
    <row r="6" customFormat="false" ht="15" hidden="false" customHeight="false" outlineLevel="0" collapsed="false">
      <c r="A6" s="10" t="n">
        <v>11</v>
      </c>
      <c r="B6" s="10" t="n">
        <v>5</v>
      </c>
      <c r="C6" s="10" t="n">
        <v>19</v>
      </c>
      <c r="D6" s="10" t="n">
        <v>19</v>
      </c>
      <c r="E6" s="10" t="n">
        <v>20</v>
      </c>
      <c r="F6" s="10" t="n">
        <v>14</v>
      </c>
      <c r="G6" s="10" t="n">
        <v>2</v>
      </c>
      <c r="H6" s="10" t="n">
        <v>11</v>
      </c>
    </row>
    <row r="7" customFormat="false" ht="15" hidden="false" customHeight="false" outlineLevel="0" collapsed="false">
      <c r="A7" s="10" t="n">
        <v>20</v>
      </c>
      <c r="B7" s="10" t="n">
        <v>19</v>
      </c>
      <c r="C7" s="10" t="n">
        <v>12</v>
      </c>
      <c r="D7" s="10" t="n">
        <v>11</v>
      </c>
      <c r="E7" s="10" t="n">
        <v>18</v>
      </c>
      <c r="F7" s="10" t="n">
        <v>2</v>
      </c>
      <c r="G7" s="10" t="n">
        <v>8</v>
      </c>
      <c r="H7" s="10" t="n">
        <v>20</v>
      </c>
    </row>
    <row r="8" customFormat="false" ht="15" hidden="false" customHeight="false" outlineLevel="0" collapsed="false">
      <c r="A8" s="10" t="n">
        <v>17</v>
      </c>
      <c r="B8" s="10" t="n">
        <v>10</v>
      </c>
      <c r="C8" s="10" t="n">
        <v>4</v>
      </c>
      <c r="D8" s="10" t="n">
        <v>18</v>
      </c>
      <c r="E8" s="10" t="n">
        <v>15</v>
      </c>
      <c r="F8" s="10" t="n">
        <v>9</v>
      </c>
      <c r="G8" s="10" t="n">
        <v>2</v>
      </c>
      <c r="H8" s="10" t="n">
        <v>17</v>
      </c>
    </row>
    <row r="9" customFormat="false" ht="15" hidden="false" customHeight="false" outlineLevel="0" collapsed="false">
      <c r="A9" s="10" t="n">
        <v>20</v>
      </c>
      <c r="B9" s="10" t="n">
        <v>20</v>
      </c>
      <c r="C9" s="10" t="n">
        <v>5</v>
      </c>
      <c r="D9" s="10" t="n">
        <v>1</v>
      </c>
      <c r="E9" s="10" t="n">
        <v>18</v>
      </c>
      <c r="F9" s="10" t="n">
        <v>6</v>
      </c>
      <c r="G9" s="10" t="n">
        <v>12</v>
      </c>
      <c r="H9" s="10" t="n">
        <v>13</v>
      </c>
    </row>
    <row r="10" customFormat="false" ht="15" hidden="false" customHeight="false" outlineLevel="0" collapsed="false">
      <c r="A10" s="10" t="n">
        <v>19</v>
      </c>
      <c r="B10" s="10" t="n">
        <v>17</v>
      </c>
      <c r="C10" s="10" t="n">
        <v>8</v>
      </c>
      <c r="D10" s="10" t="n">
        <v>7</v>
      </c>
      <c r="E10" s="10" t="n">
        <v>15</v>
      </c>
      <c r="F10" s="10" t="n">
        <v>12</v>
      </c>
      <c r="G10" s="10" t="n">
        <v>19</v>
      </c>
      <c r="H10" s="10" t="n">
        <v>16</v>
      </c>
    </row>
    <row r="11" customFormat="false" ht="15" hidden="false" customHeight="false" outlineLevel="0" collapsed="false">
      <c r="A11" s="10" t="n">
        <v>15</v>
      </c>
      <c r="B11" s="10" t="n">
        <v>16</v>
      </c>
      <c r="C11" s="10" t="n">
        <v>8</v>
      </c>
      <c r="D11" s="10" t="n">
        <v>11</v>
      </c>
      <c r="E11" s="10" t="n">
        <v>10</v>
      </c>
      <c r="F11" s="10" t="n">
        <v>2</v>
      </c>
      <c r="G11" s="10" t="n">
        <v>18</v>
      </c>
      <c r="H11" s="10" t="n">
        <v>19</v>
      </c>
    </row>
    <row r="13" customFormat="false" ht="15" hidden="false" customHeight="false" outlineLevel="0" collapsed="false">
      <c r="A13" s="9" t="s">
        <v>29</v>
      </c>
    </row>
    <row r="15" customFormat="false" ht="15" hidden="false" customHeight="false" outlineLevel="0" collapsed="false">
      <c r="A15" s="13" t="s">
        <v>30</v>
      </c>
    </row>
    <row r="16" customFormat="false" ht="48" hidden="false" customHeight="true" outlineLevel="0" collapsed="false">
      <c r="A16" s="8"/>
      <c r="B16" s="8" t="s">
        <v>21</v>
      </c>
      <c r="C16" s="8" t="s">
        <v>22</v>
      </c>
      <c r="D16" s="8" t="s">
        <v>23</v>
      </c>
      <c r="E16" s="8" t="s">
        <v>24</v>
      </c>
      <c r="F16" s="8" t="s">
        <v>25</v>
      </c>
      <c r="G16" s="8" t="s">
        <v>26</v>
      </c>
      <c r="H16" s="8" t="s">
        <v>27</v>
      </c>
      <c r="I16" s="8" t="s">
        <v>28</v>
      </c>
    </row>
    <row r="17" customFormat="false" ht="15" hidden="false" customHeight="false" outlineLevel="0" collapsed="false">
      <c r="A17" s="14" t="s">
        <v>21</v>
      </c>
      <c r="B17" s="15" t="n">
        <f aca="false">CORREL($A$2:$A$11,$A$2:$A$11)</f>
        <v>1</v>
      </c>
      <c r="C17" s="15" t="n">
        <f aca="false">CORREL($A$2:$A$11,$B$2:$B$11)</f>
        <v>0.819764050511578</v>
      </c>
      <c r="D17" s="15" t="n">
        <f aca="false">CORREL($A$2:$A$11,$C$2:$C$11)</f>
        <v>-0.0715421941701286</v>
      </c>
      <c r="E17" s="15" t="n">
        <f aca="false">CORREL($A$2:$A$11,$D$2:$D$11)</f>
        <v>-0.579775304815742</v>
      </c>
      <c r="F17" s="15" t="n">
        <f aca="false">CORREL($A$2:$A$11,$E$2:$E$11)</f>
        <v>0.174186797426408</v>
      </c>
      <c r="G17" s="15" t="n">
        <f aca="false">CORREL($A$2:$A$11,$F$2:$F$11)</f>
        <v>-0.66848681750307</v>
      </c>
      <c r="H17" s="15" t="n">
        <f aca="false">CORREL($A$2:$A$11,$G$2:$G$11)</f>
        <v>-0.12392135729441</v>
      </c>
      <c r="I17" s="15" t="n">
        <f aca="false">CORREL($A$2:$A$11,$H$2:$H$11)</f>
        <v>0.2928807426842</v>
      </c>
    </row>
    <row r="18" customFormat="false" ht="15" hidden="false" customHeight="false" outlineLevel="0" collapsed="false">
      <c r="A18" s="14" t="s">
        <v>22</v>
      </c>
      <c r="B18" s="15" t="n">
        <f aca="false">CORREL($B$2:$B$11,$A$2:$A$11)</f>
        <v>0.819764050511578</v>
      </c>
      <c r="C18" s="15" t="n">
        <f aca="false">CORREL($B$2:$B$11,$B$2:$B$11)</f>
        <v>1</v>
      </c>
      <c r="D18" s="15" t="n">
        <f aca="false">CORREL($B$2:$B$11,$C$2:$C$11)</f>
        <v>-0.109555554518917</v>
      </c>
      <c r="E18" s="15" t="n">
        <f aca="false">CORREL($B$2:$B$11,$D$2:$D$11)</f>
        <v>-0.685807805414957</v>
      </c>
      <c r="F18" s="15" t="n">
        <f aca="false">CORREL($B$2:$B$11,$E$2:$E$11)</f>
        <v>-0.141717919912056</v>
      </c>
      <c r="G18" s="15" t="n">
        <f aca="false">CORREL($B$2:$B$11,$F$2:$F$11)</f>
        <v>-0.728488701658419</v>
      </c>
      <c r="H18" s="15" t="n">
        <f aca="false">CORREL($B$2:$B$11,$G$2:$G$11)</f>
        <v>0.362542760687288</v>
      </c>
      <c r="I18" s="15" t="n">
        <f aca="false">CORREL($B$2:$B$11,$H$2:$H$11)</f>
        <v>0.147665483195208</v>
      </c>
    </row>
    <row r="19" customFormat="false" ht="15" hidden="false" customHeight="false" outlineLevel="0" collapsed="false">
      <c r="A19" s="14" t="s">
        <v>23</v>
      </c>
      <c r="B19" s="15" t="n">
        <f aca="false">CORREL($C$2:$C$11,$A$2:$A$11)</f>
        <v>-0.0715421941701286</v>
      </c>
      <c r="C19" s="15" t="n">
        <f aca="false">CORREL($C$2:$C$11,$B$2:$B$11)</f>
        <v>-0.109555554518917</v>
      </c>
      <c r="D19" s="15" t="n">
        <f aca="false">CORREL($C$2:$C$11,$C$2:$C$11)</f>
        <v>1</v>
      </c>
      <c r="E19" s="15" t="n">
        <f aca="false">CORREL($C$2:$C$11,$D$2:$D$11)</f>
        <v>0.356973054327416</v>
      </c>
      <c r="F19" s="15" t="n">
        <f aca="false">CORREL($C$2:$C$11,$E$2:$E$11)</f>
        <v>-0.334531944161343</v>
      </c>
      <c r="G19" s="15" t="n">
        <f aca="false">CORREL($C$2:$C$11,$F$2:$F$11)</f>
        <v>0.326467049962007</v>
      </c>
      <c r="H19" s="15" t="n">
        <f aca="false">CORREL($C$2:$C$11,$G$2:$G$11)</f>
        <v>-0.087889336290457</v>
      </c>
      <c r="I19" s="15" t="n">
        <f aca="false">CORREL($C$2:$C$11,$H$2:$H$11)</f>
        <v>0.183689168943938</v>
      </c>
    </row>
    <row r="20" customFormat="false" ht="15" hidden="false" customHeight="false" outlineLevel="0" collapsed="false">
      <c r="A20" s="14" t="s">
        <v>24</v>
      </c>
      <c r="B20" s="15" t="n">
        <f aca="false">CORREL($D$2:$D$11,$A$2:$A$11)</f>
        <v>-0.579775304815742</v>
      </c>
      <c r="C20" s="15" t="n">
        <f aca="false">CORREL($D$2:$D$11,$B$2:$B$11)</f>
        <v>-0.685807805414957</v>
      </c>
      <c r="D20" s="15" t="n">
        <f aca="false">CORREL($D$2:$D$11,$C$2:$C$11)</f>
        <v>0.356973054327416</v>
      </c>
      <c r="E20" s="15" t="n">
        <f aca="false">CORREL($D$2:$D$11,$D$2:$D$11)</f>
        <v>1</v>
      </c>
      <c r="F20" s="15" t="n">
        <f aca="false">CORREL($D$2:$D$11,$E$2:$E$11)</f>
        <v>-0.267407459435123</v>
      </c>
      <c r="G20" s="15" t="n">
        <f aca="false">CORREL($D$2:$D$11,$F$2:$F$11)</f>
        <v>0.433452376602859</v>
      </c>
      <c r="H20" s="15" t="n">
        <f aca="false">CORREL($D$2:$D$11,$G$2:$G$11)</f>
        <v>-0.369979841763431</v>
      </c>
      <c r="I20" s="15" t="n">
        <f aca="false">CORREL($D$2:$D$11,$H$2:$H$11)</f>
        <v>-0.254139946233293</v>
      </c>
    </row>
    <row r="21" customFormat="false" ht="15" hidden="false" customHeight="false" outlineLevel="0" collapsed="false">
      <c r="A21" s="14" t="s">
        <v>25</v>
      </c>
      <c r="B21" s="15" t="n">
        <f aca="false">CORREL($E$2:$E$11,$A$2:$A$11)</f>
        <v>0.174186797426408</v>
      </c>
      <c r="C21" s="15" t="n">
        <f aca="false">CORREL($E$2:$E$11,$B$2:$B$11)</f>
        <v>-0.141717919912056</v>
      </c>
      <c r="D21" s="15" t="n">
        <f aca="false">CORREL($E$2:$E$11,$C$2:$C$11)</f>
        <v>-0.334531944161343</v>
      </c>
      <c r="E21" s="15" t="n">
        <f aca="false">CORREL($E$2:$E$11,$D$2:$D$11)</f>
        <v>-0.267407459435123</v>
      </c>
      <c r="F21" s="15" t="n">
        <f aca="false">CORREL($E$2:$E$11,$E$2:$E$11)</f>
        <v>1</v>
      </c>
      <c r="G21" s="15" t="n">
        <f aca="false">CORREL($E$2:$E$11,$F$2:$F$11)</f>
        <v>-0.230453169405638</v>
      </c>
      <c r="H21" s="15" t="n">
        <f aca="false">CORREL($E$2:$E$11,$G$2:$G$11)</f>
        <v>-0.577459503776653</v>
      </c>
      <c r="I21" s="15" t="n">
        <f aca="false">CORREL($E$2:$E$11,$H$2:$H$11)</f>
        <v>-0.111607327702205</v>
      </c>
    </row>
    <row r="22" customFormat="false" ht="15" hidden="false" customHeight="false" outlineLevel="0" collapsed="false">
      <c r="A22" s="14" t="s">
        <v>26</v>
      </c>
      <c r="B22" s="15" t="n">
        <f aca="false">CORREL($F$2:$F$11,$A$2:$A$11)</f>
        <v>-0.66848681750307</v>
      </c>
      <c r="C22" s="15" t="n">
        <f aca="false">CORREL($F$2:$F$11,$B$2:$B$11)</f>
        <v>-0.728488701658419</v>
      </c>
      <c r="D22" s="15" t="n">
        <f aca="false">CORREL($F$2:$F$11,$C$2:$C$11)</f>
        <v>0.326467049962007</v>
      </c>
      <c r="E22" s="15" t="n">
        <f aca="false">CORREL($F$2:$F$11,$D$2:$D$11)</f>
        <v>0.433452376602859</v>
      </c>
      <c r="F22" s="15" t="n">
        <f aca="false">CORREL($F$2:$F$11,$E$2:$E$11)</f>
        <v>-0.230453169405638</v>
      </c>
      <c r="G22" s="15" t="n">
        <f aca="false">CORREL($F$2:$F$11,$F$2:$F$11)</f>
        <v>1</v>
      </c>
      <c r="H22" s="15" t="n">
        <f aca="false">CORREL($F$2:$F$11,$G$2:$G$11)</f>
        <v>0.00812727957974708</v>
      </c>
      <c r="I22" s="15" t="n">
        <f aca="false">CORREL($F$2:$F$11,$H$2:$H$11)</f>
        <v>0.00413025011614935</v>
      </c>
    </row>
    <row r="23" customFormat="false" ht="15" hidden="false" customHeight="false" outlineLevel="0" collapsed="false">
      <c r="A23" s="14" t="s">
        <v>27</v>
      </c>
      <c r="B23" s="15" t="n">
        <f aca="false">CORREL($G$2:$G$11,$A$2:$A$11)</f>
        <v>-0.12392135729441</v>
      </c>
      <c r="C23" s="15" t="n">
        <f aca="false">CORREL($G$2:$G$11,$B$2:$B$11)</f>
        <v>0.362542760687288</v>
      </c>
      <c r="D23" s="15" t="n">
        <f aca="false">CORREL($G$2:$G$11,$C$2:$C$11)</f>
        <v>-0.087889336290457</v>
      </c>
      <c r="E23" s="15" t="n">
        <f aca="false">CORREL($G$2:$G$11,$D$2:$D$11)</f>
        <v>-0.369979841763431</v>
      </c>
      <c r="F23" s="15" t="n">
        <f aca="false">CORREL($G$2:$G$11,$E$2:$E$11)</f>
        <v>-0.577459503776653</v>
      </c>
      <c r="G23" s="15" t="n">
        <f aca="false">CORREL($G$2:$G$11,$F$2:$F$11)</f>
        <v>0.00812727957974708</v>
      </c>
      <c r="H23" s="15" t="n">
        <f aca="false">CORREL($G$2:$G$11,$G$2:$G$11)</f>
        <v>1</v>
      </c>
      <c r="I23" s="15" t="n">
        <f aca="false">CORREL($G$2:$G$11,$H$2:$H$11)</f>
        <v>0.036693329597331</v>
      </c>
    </row>
    <row r="24" customFormat="false" ht="15" hidden="false" customHeight="false" outlineLevel="0" collapsed="false">
      <c r="A24" s="14" t="s">
        <v>28</v>
      </c>
      <c r="B24" s="15" t="n">
        <f aca="false">CORREL($H$2:$H$11,$A$2:$A$11)</f>
        <v>0.2928807426842</v>
      </c>
      <c r="C24" s="15" t="n">
        <f aca="false">CORREL($H$2:$H$11,$B$2:$B$11)</f>
        <v>0.147665483195208</v>
      </c>
      <c r="D24" s="15" t="n">
        <f aca="false">CORREL($H$2:$H$11,$C$2:$C$11)</f>
        <v>0.183689168943938</v>
      </c>
      <c r="E24" s="15" t="n">
        <f aca="false">CORREL($H$2:$H$11,$D$2:$D$11)</f>
        <v>-0.254139946233293</v>
      </c>
      <c r="F24" s="15" t="n">
        <f aca="false">CORREL($H$2:$H$11,$E$2:$E$11)</f>
        <v>-0.111607327702205</v>
      </c>
      <c r="G24" s="15" t="n">
        <f aca="false">CORREL($H$2:$H$11,$F$2:$F$11)</f>
        <v>0.00413025011614935</v>
      </c>
      <c r="H24" s="15" t="n">
        <f aca="false">CORREL($H$2:$H$11,$G$2:$G$11)</f>
        <v>0.036693329597331</v>
      </c>
      <c r="I24" s="15" t="n">
        <f aca="false">CORREL($H$2:$H$11,$H$2:$H$11)</f>
        <v>1</v>
      </c>
    </row>
  </sheetData>
  <conditionalFormatting sqref="B17:I24">
    <cfRule type="colorScale" priority="2">
      <colorScale>
        <cfvo type="num" val="-1"/>
        <cfvo type="num" val="0"/>
        <cfvo type="num" val="1"/>
        <color rgb="FFE63946"/>
        <color rgb="FFFFFFFF"/>
        <color rgb="FF2A6FD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40"/>
    <col collapsed="false" customWidth="true" hidden="false" outlineLevel="0" max="5" min="5" style="0" width="48"/>
  </cols>
  <sheetData>
    <row r="1" customFormat="false" ht="60" hidden="false" customHeight="true" outlineLevel="0" collapsed="false">
      <c r="A1" s="8" t="s">
        <v>31</v>
      </c>
      <c r="B1" s="8" t="s">
        <v>32</v>
      </c>
      <c r="C1" s="8" t="s">
        <v>33</v>
      </c>
      <c r="D1" s="8" t="s">
        <v>34</v>
      </c>
      <c r="E1" s="8" t="s">
        <v>35</v>
      </c>
    </row>
    <row r="2" customFormat="false" ht="26.85" hidden="false" customHeight="false" outlineLevel="0" collapsed="false">
      <c r="A2" s="16" t="s">
        <v>36</v>
      </c>
      <c r="B2" s="16" t="s">
        <v>37</v>
      </c>
      <c r="C2" s="16" t="s">
        <v>38</v>
      </c>
      <c r="D2" s="16" t="s">
        <v>39</v>
      </c>
      <c r="E2" s="16" t="s">
        <v>40</v>
      </c>
    </row>
    <row r="3" customFormat="false" ht="15" hidden="false" customHeight="false" outlineLevel="0" collapsed="false">
      <c r="A3" s="17"/>
      <c r="B3" s="17"/>
      <c r="C3" s="17"/>
      <c r="D3" s="17"/>
      <c r="E3" s="17"/>
    </row>
    <row r="4" customFormat="false" ht="15" hidden="false" customHeight="false" outlineLevel="0" collapsed="false">
      <c r="A4" s="17"/>
      <c r="B4" s="17"/>
      <c r="C4" s="17"/>
      <c r="D4" s="17"/>
      <c r="E4" s="17"/>
    </row>
    <row r="5" customFormat="false" ht="15" hidden="false" customHeight="false" outlineLevel="0" collapsed="false">
      <c r="A5" s="17"/>
      <c r="B5" s="17"/>
      <c r="C5" s="17"/>
      <c r="D5" s="17"/>
      <c r="E5" s="17"/>
    </row>
    <row r="6" customFormat="false" ht="15" hidden="false" customHeight="false" outlineLevel="0" collapsed="false">
      <c r="A6" s="17"/>
      <c r="B6" s="17"/>
      <c r="C6" s="17"/>
      <c r="D6" s="17"/>
      <c r="E6" s="17"/>
    </row>
    <row r="7" customFormat="false" ht="15" hidden="false" customHeight="false" outlineLevel="0" collapsed="false">
      <c r="A7" s="17"/>
      <c r="B7" s="17"/>
      <c r="C7" s="17"/>
      <c r="D7" s="17"/>
      <c r="E7" s="17"/>
    </row>
    <row r="8" customFormat="false" ht="15" hidden="false" customHeight="false" outlineLevel="0" collapsed="false">
      <c r="A8" s="17"/>
      <c r="B8" s="17"/>
      <c r="C8" s="17"/>
      <c r="D8" s="17"/>
      <c r="E8" s="17"/>
    </row>
    <row r="10" customFormat="false" ht="15" hidden="false" customHeight="false" outlineLevel="0" collapsed="false">
      <c r="A10" s="9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6.15" hidden="false" customHeight="false" outlineLevel="0" collapsed="false">
      <c r="A1" s="18" t="s">
        <v>42</v>
      </c>
    </row>
    <row r="3" customFormat="false" ht="15" hidden="false" customHeight="false" outlineLevel="0" collapsed="false">
      <c r="A3" s="8" t="s">
        <v>43</v>
      </c>
      <c r="B3" s="8" t="s">
        <v>44</v>
      </c>
      <c r="C3" s="8" t="s">
        <v>45</v>
      </c>
    </row>
    <row r="4" customFormat="false" ht="15" hidden="false" customHeight="false" outlineLevel="0" collapsed="false">
      <c r="A4" s="19" t="s">
        <v>46</v>
      </c>
      <c r="B4" s="20" t="n">
        <f aca="false">CORREL(Town!C2:C31,Town!D2:D31)</f>
        <v>0.824894240493131</v>
      </c>
      <c r="C4" s="21" t="s">
        <v>47</v>
      </c>
    </row>
    <row r="5" customFormat="false" ht="15" hidden="false" customHeight="false" outlineLevel="0" collapsed="false">
      <c r="A5" s="19" t="s">
        <v>48</v>
      </c>
      <c r="B5" s="20" t="n">
        <f aca="false">CORREL(Town!B2:B31,Town!C2:C31)</f>
        <v>0.952414431772753</v>
      </c>
      <c r="C5" s="21" t="s">
        <v>49</v>
      </c>
    </row>
    <row r="6" customFormat="false" ht="15" hidden="false" customHeight="false" outlineLevel="0" collapsed="false">
      <c r="A6" s="19" t="s">
        <v>50</v>
      </c>
      <c r="B6" s="20" t="n">
        <f aca="false">CORREL(Town!B2:B31,Town!D2:D31)</f>
        <v>0.854816712637033</v>
      </c>
      <c r="C6" s="21" t="s">
        <v>51</v>
      </c>
    </row>
    <row r="7" customFormat="false" ht="15" hidden="false" customHeight="false" outlineLevel="0" collapsed="false">
      <c r="A7" s="19" t="s">
        <v>52</v>
      </c>
      <c r="B7" s="20" t="n">
        <f aca="false">(B4-B5*B6)/SQRT((1-B5^2)*(1-B6^2))</f>
        <v>0.0679917842200352</v>
      </c>
      <c r="C7" s="21" t="s">
        <v>53</v>
      </c>
    </row>
    <row r="8" customFormat="false" ht="15" hidden="false" customHeight="false" outlineLevel="0" collapsed="false">
      <c r="A8" s="19" t="s">
        <v>54</v>
      </c>
      <c r="B8" s="20" t="n">
        <f aca="false">CORREL(Town!C2:C11,Town!D2:D11)</f>
        <v>0.113873976608558</v>
      </c>
      <c r="C8" s="21" t="s">
        <v>55</v>
      </c>
    </row>
    <row r="9" customFormat="false" ht="15" hidden="false" customHeight="false" outlineLevel="0" collapsed="false">
      <c r="A9" s="19" t="s">
        <v>56</v>
      </c>
      <c r="B9" s="20" t="n">
        <f aca="false">CORREL(Town!C22:C31,Town!D22:D31)</f>
        <v>0.104632326366803</v>
      </c>
      <c r="C9" s="21" t="s">
        <v>57</v>
      </c>
    </row>
    <row r="10" customFormat="false" ht="15" hidden="false" customHeight="false" outlineLevel="0" collapsed="false">
      <c r="A10" s="19" t="s">
        <v>58</v>
      </c>
      <c r="B10" s="22" t="n">
        <f aca="false">COUNT(Chance!A2:H2)*(COUNT(Chance!A2:H2)-1)/2</f>
        <v>28</v>
      </c>
      <c r="C10" s="21" t="s">
        <v>59</v>
      </c>
    </row>
    <row r="11" customFormat="false" ht="15" hidden="false" customHeight="false" outlineLevel="0" collapsed="false">
      <c r="A11" s="19" t="s">
        <v>60</v>
      </c>
      <c r="B11" s="20" t="n">
        <f aca="false">LARGE(Chance!B17:I24,9)</f>
        <v>0.819764050511578</v>
      </c>
      <c r="C11" s="21" t="s">
        <v>61</v>
      </c>
    </row>
    <row r="12" customFormat="false" ht="15" hidden="false" customHeight="false" outlineLevel="0" collapsed="false">
      <c r="A12" s="19" t="s">
        <v>62</v>
      </c>
      <c r="B12" s="20" t="n">
        <f aca="false">SMALL(Chance!B17:I24,1)</f>
        <v>-0.728488701658419</v>
      </c>
      <c r="C12" s="21" t="s">
        <v>63</v>
      </c>
    </row>
    <row r="14" customFormat="false" ht="15" hidden="false" customHeight="false" outlineLevel="0" collapsed="false">
      <c r="A14" s="23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2026-10-02T03:32:08Z</dcterms:created>
  <dc:creator>openpyxl</dc:creator>
  <dc:description/>
  <dc:language>en-US</dc:language>
  <cp:lastModifiedBy/>
  <dcterms:modified xsi:type="dcterms:W3CDTF">2026-10-02T03:32:09Z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