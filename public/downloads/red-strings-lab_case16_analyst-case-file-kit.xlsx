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se File" sheetId="2" state="visible" r:id="rId4"/>
    <sheet name="Checklist" sheetId="3" state="visible" r:id="rId5"/>
    <sheet name="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<sst xmlns="http://schemas.openxmlformats.org/spreadsheetml/2006/main" count="122" uniqueCount="84">
  <si>
    <t xml:space="preserve">RED STRINGS LAB · CASE 16 · Analyst Finale: Build and Break Your Model — Case File Kit</t>
  </si>
  <si>
    <t xml:space="preserve">Every dataset is hiding something.</t>
  </si>
  <si>
    <t xml:space="preserve">The Analyst finale. You build a small model, test it on examples it never saw, try to break it, fix what you can, and say honestly what it can and cannot do.</t>
  </si>
  <si>
    <t xml:space="preserve">⚠ The 'Example' tab is MADE UP, built from the Case 15 'Beat the Machine' data. It is not about any real person or tool.</t>
  </si>
  <si>
    <t xml:space="preserve">TABS</t>
  </si>
  <si>
    <t xml:space="preserve">• Case File — your one-page report. Yellow cells are yours.  • Checklist — ten honesty checks from Cases 9 to 15.  • Example — a finished case file to compare against.</t>
  </si>
  <si>
    <t xml:space="preserve">CHOOSE ONE MODEL TO BUILD</t>
  </si>
  <si>
    <t xml:space="preserve">• A picture classifier in Teachable Machine (Case 9). Objects only. Check the tool's terms and your account's age rules first.</t>
  </si>
  <si>
    <t xml:space="preserve">• A line predictor in a spreadsheet (Case 15) using SLOPE and INTERCEPT. No sign-in needed.</t>
  </si>
  <si>
    <t xml:space="preserve">RULES</t>
  </si>
  <si>
    <t xml:space="preserve">1. No faces, no other people, no personal photos or details. Objects and made-up or properly sourced data only.</t>
  </si>
  <si>
    <t xml:space="preserve">2. Test on examples the model never saw. Log every break attempt, including the ones that failed.</t>
  </si>
  <si>
    <t xml:space="preserve">3. A fix counts only if you re-test on NEW examples.</t>
  </si>
  <si>
    <t xml:space="preserve">4. Check the sources and claims you rely on outside any tool.</t>
  </si>
  <si>
    <t xml:space="preserve">5. Finish with one honest sentence: it can…, but it cannot….</t>
  </si>
  <si>
    <t xml:space="preserve">Not affiliated with Google or any tool shown. Free to use for learning. Terms checked: [add date].</t>
  </si>
  <si>
    <t xml:space="preserve">RED STRINGS LAB · ANALYST CASE FILE</t>
  </si>
  <si>
    <t xml:space="preserve">⚠ No faces, names or personal details.</t>
  </si>
  <si>
    <t xml:space="preserve">1. THE CASE</t>
  </si>
  <si>
    <t xml:space="preserve">Detective name (not your real name)</t>
  </si>
  <si>
    <t xml:space="preserve">The question my model answers</t>
  </si>
  <si>
    <t xml:space="preserve">Model type</t>
  </si>
  <si>
    <t xml:space="preserve">What data it learned from, and where it came from</t>
  </si>
  <si>
    <t xml:space="preserve">2. THE TEST (unseen examples only)</t>
  </si>
  <si>
    <t xml:space="preserve">How I split learning from testing</t>
  </si>
  <si>
    <t xml:space="preserve">Metric (accuracy = higher is better, typical miss = lower is better)</t>
  </si>
  <si>
    <t xml:space="preserve">Score on examples it LEARNED from</t>
  </si>
  <si>
    <t xml:space="preserve">Score on examples it NEVER SAW</t>
  </si>
  <si>
    <t xml:space="preserve">What the gap tells me</t>
  </si>
  <si>
    <t xml:space="preserve">3. THE BREAK LOG</t>
  </si>
  <si>
    <t xml:space="preserve">Break attempts (at least 5, different kinds)</t>
  </si>
  <si>
    <t xml:space="preserve">Times it was fooled or gave a bad answer</t>
  </si>
  <si>
    <t xml:space="preserve">Fool rate</t>
  </si>
  <si>
    <t xml:space="preserve">The failure that surprised me most, and WHY it happened</t>
  </si>
  <si>
    <t xml:space="preserve">The fix I tried, and the re-test on NEW examples</t>
  </si>
  <si>
    <t xml:space="preserve">4. WHO AND WHAT IS MISSING</t>
  </si>
  <si>
    <t xml:space="preserve">Who or what is missing from my data? Which columns could be proxies?</t>
  </si>
  <si>
    <t xml:space="preserve">Do outcomes differ across groups? (or why this does not apply)</t>
  </si>
  <si>
    <t xml:space="preserve">5. WHAT I CAN AND CANNOT CLAIM</t>
  </si>
  <si>
    <t xml:space="preserve">Sources and claims I checked outside the tool</t>
  </si>
  <si>
    <t xml:space="preserve">It CAN…</t>
  </si>
  <si>
    <t xml:space="preserve">…but it CANNOT…</t>
  </si>
  <si>
    <t xml:space="preserve">Case status (open / closed)</t>
  </si>
  <si>
    <t xml:space="preserve">ANALYST CHECKLIST: ten honesty checks</t>
  </si>
  <si>
    <t xml:space="preserve">#</t>
  </si>
  <si>
    <t xml:space="preserve">Did I do this?</t>
  </si>
  <si>
    <t xml:space="preserve">Yes / No</t>
  </si>
  <si>
    <t xml:space="preserve">From</t>
  </si>
  <si>
    <t xml:space="preserve">I tested my model on examples it never saw</t>
  </si>
  <si>
    <t xml:space="preserve">No</t>
  </si>
  <si>
    <t xml:space="preserve">Case 11</t>
  </si>
  <si>
    <t xml:space="preserve">I reported the seen vs unseen gap, not just one score</t>
  </si>
  <si>
    <t xml:space="preserve">I tried at least 5 different ways to break it and logged every attempt</t>
  </si>
  <si>
    <t xml:space="preserve">Case 10</t>
  </si>
  <si>
    <t xml:space="preserve">I explained WHY at least one failure happened and re-tested a fix on new examples</t>
  </si>
  <si>
    <t xml:space="preserve">I checked who or what is missing from my data, and which columns could be proxies</t>
  </si>
  <si>
    <t xml:space="preserve">Case 12</t>
  </si>
  <si>
    <t xml:space="preserve">I compared outcomes across groups, or explained why that does not apply</t>
  </si>
  <si>
    <t xml:space="preserve">I treated any detector's output as a hint, never as proof</t>
  </si>
  <si>
    <t xml:space="preserve">Case 13</t>
  </si>
  <si>
    <t xml:space="preserve">I checked every source or claim I relied on, outside the tool that gave it</t>
  </si>
  <si>
    <t xml:space="preserve">Case 14</t>
  </si>
  <si>
    <t xml:space="preserve">I said where my predictions are NOT trustworthy (outside the data, impossible values)</t>
  </si>
  <si>
    <t xml:space="preserve">Case 15</t>
  </si>
  <si>
    <t xml:space="preserve">I wrote one honest sentence: it can…, but it cannot…</t>
  </si>
  <si>
    <t xml:space="preserve">All</t>
  </si>
  <si>
    <t xml:space="preserve">Checks passed</t>
  </si>
  <si>
    <t xml:space="preserve">Status</t>
  </si>
  <si>
    <t xml:space="preserve">This is a self-check. The honest answer is the useful one.</t>
  </si>
  <si>
    <t xml:space="preserve">EXAMPLE built from MADE-UP data (Case 15). Not real people.</t>
  </si>
  <si>
    <t xml:space="preserve">Inspector Sock</t>
  </si>
  <si>
    <t xml:space="preserve">Given hours of practice per week, what game score will a student get?</t>
  </si>
  <si>
    <t xml:space="preserve">Line predictor in a spreadsheet (SLOPE and INTERCEPT)</t>
  </si>
  <si>
    <t xml:space="preserve">24 made-up students (hours practised, game score). Made up, so I know the truth.</t>
  </si>
  <si>
    <t xml:space="preserve">24 students to draw the line, 4 hidden students kept for testing.</t>
  </si>
  <si>
    <t xml:space="preserve">Typical miss (lower is better)</t>
  </si>
  <si>
    <t xml:space="preserve">At 20 hours it predicts 156, but the highest possible score is 120. A straight line does not know the score is capped, and my data only covers about 1 to 12 hours.</t>
  </si>
  <si>
    <t xml:space="preserve">Only predict inside 1 to 12 hours and never above 120. Re-test: the prediction at 8 hours is 69.4, inside the range and possible.</t>
  </si>
  <si>
    <t xml:space="preserve">Students who practise outside 1 to 12 hours, and students who do not play the game at all. No proxy columns: there is only one input.</t>
  </si>
  <si>
    <t xml:space="preserve">Not applicable: one made-up group. I would check this before using any real data.</t>
  </si>
  <si>
    <t xml:space="preserve">None needed: made-up data. For real data I would check the source and its terms.</t>
  </si>
  <si>
    <t xml:space="preserve">…give a rough prediction of a made-up game score for 1 to 12 hours of practice, typically within about 8 points.</t>
  </si>
  <si>
    <t xml:space="preserve">…tell me whether practice causes the score, predict outside 1 to 12 hours, or respect the 120 cap.</t>
  </si>
  <si>
    <t xml:space="preserve">Open: a real dataset and a bigger test set would be the next step.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</si>
</sst>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B00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EF1F8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35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26.8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6" t="s">
        <v>4</v>
      </c>
    </row>
    <row r="9" customFormat="false" ht="26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6" t="s">
        <v>6</v>
      </c>
    </row>
    <row r="12" customFormat="false" ht="26.8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6" t="s">
        <v>9</v>
      </c>
    </row>
    <row r="16" customFormat="false" ht="26.8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8" t="s">
        <v>16</v>
      </c>
    </row>
    <row r="2" customFormat="false" ht="15" hidden="false" customHeight="false" outlineLevel="0" collapsed="false">
      <c r="A2" s="9" t="s">
        <v>17</v>
      </c>
    </row>
    <row r="4" customFormat="false" ht="15" hidden="false" customHeight="false" outlineLevel="0" collapsed="false">
      <c r="A4" s="10" t="s">
        <v>18</v>
      </c>
      <c r="B4" s="11"/>
    </row>
    <row r="5" customFormat="false" ht="21.75" hidden="false" customHeight="true" outlineLevel="0" collapsed="false">
      <c r="A5" s="12" t="s">
        <v>19</v>
      </c>
      <c r="B5" s="13"/>
    </row>
    <row r="6" customFormat="false" ht="33.75" hidden="false" customHeight="true" outlineLevel="0" collapsed="false">
      <c r="A6" s="12" t="s">
        <v>20</v>
      </c>
      <c r="B6" s="13"/>
    </row>
    <row r="7" customFormat="false" ht="21.75" hidden="false" customHeight="true" outlineLevel="0" collapsed="false">
      <c r="A7" s="12" t="s">
        <v>21</v>
      </c>
      <c r="B7" s="13"/>
    </row>
    <row r="8" customFormat="false" ht="33.75" hidden="false" customHeight="true" outlineLevel="0" collapsed="false">
      <c r="A8" s="12" t="s">
        <v>22</v>
      </c>
      <c r="B8" s="13"/>
    </row>
    <row r="10" customFormat="false" ht="15" hidden="false" customHeight="false" outlineLevel="0" collapsed="false">
      <c r="A10" s="10" t="s">
        <v>23</v>
      </c>
      <c r="B10" s="11"/>
    </row>
    <row r="11" customFormat="false" ht="33.75" hidden="false" customHeight="true" outlineLevel="0" collapsed="false">
      <c r="A11" s="12" t="s">
        <v>24</v>
      </c>
      <c r="B11" s="13"/>
    </row>
    <row r="12" customFormat="false" ht="33.75" hidden="false" customHeight="true" outlineLevel="0" collapsed="false">
      <c r="A12" s="12" t="s">
        <v>25</v>
      </c>
      <c r="B12" s="13"/>
    </row>
    <row r="13" customFormat="false" ht="21.75" hidden="false" customHeight="true" outlineLevel="0" collapsed="false">
      <c r="A13" s="12" t="s">
        <v>26</v>
      </c>
      <c r="B13" s="14"/>
    </row>
    <row r="14" customFormat="false" ht="21.75" hidden="false" customHeight="true" outlineLevel="0" collapsed="false">
      <c r="A14" s="12" t="s">
        <v>27</v>
      </c>
      <c r="B14" s="14"/>
    </row>
    <row r="15" customFormat="false" ht="33.75" hidden="false" customHeight="true" outlineLevel="0" collapsed="false">
      <c r="A15" s="12" t="s">
        <v>28</v>
      </c>
      <c r="B15" s="15" t="str">
        <f aca="false">IF(OR(B13="",B14="",B12=""),"",IF(ISNUMBER(SEARCH("accuracy",B12)),IF(B14&lt;B13-10,"Big drop on unseen examples: possible overfitting. Investigate.","Small gap. The score looks trustworthy, with caution."),IF(B14&gt;B13*1.3,"Much worse on unseen examples: possible overfitting. Investigate.","Small gap. The score looks trustworthy, with caution.")))</f>
        <v/>
      </c>
    </row>
    <row r="17" customFormat="false" ht="15" hidden="false" customHeight="false" outlineLevel="0" collapsed="false">
      <c r="A17" s="10" t="s">
        <v>29</v>
      </c>
      <c r="B17" s="11"/>
    </row>
    <row r="18" customFormat="false" ht="21.75" hidden="false" customHeight="true" outlineLevel="0" collapsed="false">
      <c r="A18" s="12" t="s">
        <v>30</v>
      </c>
      <c r="B18" s="13"/>
    </row>
    <row r="19" customFormat="false" ht="21.75" hidden="false" customHeight="true" outlineLevel="0" collapsed="false">
      <c r="A19" s="12" t="s">
        <v>31</v>
      </c>
      <c r="B19" s="13"/>
    </row>
    <row r="20" customFormat="false" ht="21.75" hidden="false" customHeight="true" outlineLevel="0" collapsed="false">
      <c r="A20" s="12" t="s">
        <v>32</v>
      </c>
      <c r="B20" s="16" t="str">
        <f aca="false">IF(OR(B18="",B18=0),"",B19/B18)</f>
        <v/>
      </c>
    </row>
    <row r="21" customFormat="false" ht="33.75" hidden="false" customHeight="true" outlineLevel="0" collapsed="false">
      <c r="A21" s="12" t="s">
        <v>33</v>
      </c>
      <c r="B21" s="13"/>
    </row>
    <row r="22" customFormat="false" ht="48" hidden="false" customHeight="true" outlineLevel="0" collapsed="false">
      <c r="A22" s="12" t="s">
        <v>34</v>
      </c>
      <c r="B22" s="13"/>
    </row>
    <row r="24" customFormat="false" ht="15" hidden="false" customHeight="false" outlineLevel="0" collapsed="false">
      <c r="A24" s="10" t="s">
        <v>35</v>
      </c>
      <c r="B24" s="11"/>
    </row>
    <row r="25" customFormat="false" ht="48" hidden="false" customHeight="true" outlineLevel="0" collapsed="false">
      <c r="A25" s="12" t="s">
        <v>36</v>
      </c>
      <c r="B25" s="13"/>
    </row>
    <row r="26" customFormat="false" ht="33.75" hidden="false" customHeight="true" outlineLevel="0" collapsed="false">
      <c r="A26" s="12" t="s">
        <v>37</v>
      </c>
      <c r="B26" s="13"/>
    </row>
    <row r="28" customFormat="false" ht="15" hidden="false" customHeight="false" outlineLevel="0" collapsed="false">
      <c r="A28" s="10" t="s">
        <v>38</v>
      </c>
      <c r="B28" s="11"/>
    </row>
    <row r="29" customFormat="false" ht="33.75" hidden="false" customHeight="true" outlineLevel="0" collapsed="false">
      <c r="A29" s="12" t="s">
        <v>39</v>
      </c>
      <c r="B29" s="13"/>
    </row>
    <row r="30" customFormat="false" ht="39.75" hidden="false" customHeight="true" outlineLevel="0" collapsed="false">
      <c r="A30" s="12" t="s">
        <v>40</v>
      </c>
      <c r="B30" s="13"/>
    </row>
    <row r="31" customFormat="false" ht="39.75" hidden="false" customHeight="true" outlineLevel="0" collapsed="false">
      <c r="A31" s="12" t="s">
        <v>41</v>
      </c>
      <c r="B31" s="13"/>
    </row>
    <row r="32" customFormat="false" ht="21.75" hidden="false" customHeight="true" outlineLevel="0" collapsed="false">
      <c r="A32" s="12" t="s">
        <v>42</v>
      </c>
      <c r="B32" s="13"/>
    </row>
  </sheetData>
  <dataValidations count="1">
    <dataValidation allowBlank="true" errorStyle="stop" operator="between" showDropDown="false" showErrorMessage="false" showInputMessage="false" sqref="B12" type="list">
      <formula1>"Accuracy (higher is better),Typical miss (lower is better)"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8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7" t="s">
        <v>43</v>
      </c>
    </row>
    <row r="3" customFormat="false" ht="15" hidden="false" customHeight="false" outlineLevel="0" collapsed="false">
      <c r="A3" s="18" t="s">
        <v>44</v>
      </c>
      <c r="B3" s="18" t="s">
        <v>45</v>
      </c>
      <c r="C3" s="18" t="s">
        <v>46</v>
      </c>
      <c r="D3" s="18" t="s">
        <v>47</v>
      </c>
    </row>
    <row r="4" customFormat="false" ht="15" hidden="false" customHeight="false" outlineLevel="0" collapsed="false">
      <c r="A4" s="19" t="n">
        <v>1</v>
      </c>
      <c r="B4" s="20" t="s">
        <v>48</v>
      </c>
      <c r="C4" s="21" t="s">
        <v>49</v>
      </c>
      <c r="D4" s="22" t="s">
        <v>50</v>
      </c>
    </row>
    <row r="5" customFormat="false" ht="15" hidden="false" customHeight="false" outlineLevel="0" collapsed="false">
      <c r="A5" s="19" t="n">
        <v>2</v>
      </c>
      <c r="B5" s="20" t="s">
        <v>51</v>
      </c>
      <c r="C5" s="21" t="s">
        <v>49</v>
      </c>
      <c r="D5" s="22" t="s">
        <v>50</v>
      </c>
    </row>
    <row r="6" customFormat="false" ht="15" hidden="false" customHeight="false" outlineLevel="0" collapsed="false">
      <c r="A6" s="19" t="n">
        <v>3</v>
      </c>
      <c r="B6" s="20" t="s">
        <v>52</v>
      </c>
      <c r="C6" s="21" t="s">
        <v>49</v>
      </c>
      <c r="D6" s="22" t="s">
        <v>53</v>
      </c>
    </row>
    <row r="7" customFormat="false" ht="15" hidden="false" customHeight="false" outlineLevel="0" collapsed="false">
      <c r="A7" s="19" t="n">
        <v>4</v>
      </c>
      <c r="B7" s="20" t="s">
        <v>54</v>
      </c>
      <c r="C7" s="21" t="s">
        <v>49</v>
      </c>
      <c r="D7" s="22" t="s">
        <v>53</v>
      </c>
    </row>
    <row r="8" customFormat="false" ht="15" hidden="false" customHeight="false" outlineLevel="0" collapsed="false">
      <c r="A8" s="19" t="n">
        <v>5</v>
      </c>
      <c r="B8" s="20" t="s">
        <v>55</v>
      </c>
      <c r="C8" s="21" t="s">
        <v>49</v>
      </c>
      <c r="D8" s="22" t="s">
        <v>56</v>
      </c>
    </row>
    <row r="9" customFormat="false" ht="15" hidden="false" customHeight="false" outlineLevel="0" collapsed="false">
      <c r="A9" s="19" t="n">
        <v>6</v>
      </c>
      <c r="B9" s="20" t="s">
        <v>57</v>
      </c>
      <c r="C9" s="21" t="s">
        <v>49</v>
      </c>
      <c r="D9" s="22" t="s">
        <v>56</v>
      </c>
    </row>
    <row r="10" customFormat="false" ht="15" hidden="false" customHeight="false" outlineLevel="0" collapsed="false">
      <c r="A10" s="19" t="n">
        <v>7</v>
      </c>
      <c r="B10" s="20" t="s">
        <v>58</v>
      </c>
      <c r="C10" s="21" t="s">
        <v>49</v>
      </c>
      <c r="D10" s="22" t="s">
        <v>59</v>
      </c>
    </row>
    <row r="11" customFormat="false" ht="15" hidden="false" customHeight="false" outlineLevel="0" collapsed="false">
      <c r="A11" s="19" t="n">
        <v>8</v>
      </c>
      <c r="B11" s="20" t="s">
        <v>60</v>
      </c>
      <c r="C11" s="21" t="s">
        <v>49</v>
      </c>
      <c r="D11" s="22" t="s">
        <v>61</v>
      </c>
    </row>
    <row r="12" customFormat="false" ht="15" hidden="false" customHeight="false" outlineLevel="0" collapsed="false">
      <c r="A12" s="19" t="n">
        <v>9</v>
      </c>
      <c r="B12" s="20" t="s">
        <v>62</v>
      </c>
      <c r="C12" s="21" t="s">
        <v>49</v>
      </c>
      <c r="D12" s="22" t="s">
        <v>63</v>
      </c>
    </row>
    <row r="13" customFormat="false" ht="15" hidden="false" customHeight="false" outlineLevel="0" collapsed="false">
      <c r="A13" s="19" t="n">
        <v>10</v>
      </c>
      <c r="B13" s="20" t="s">
        <v>64</v>
      </c>
      <c r="C13" s="21" t="s">
        <v>49</v>
      </c>
      <c r="D13" s="22" t="s">
        <v>65</v>
      </c>
    </row>
    <row r="15" customFormat="false" ht="15" hidden="false" customHeight="false" outlineLevel="0" collapsed="false">
      <c r="B15" s="23" t="s">
        <v>66</v>
      </c>
      <c r="C15" s="24" t="n">
        <f aca="false">COUNTIF(C4:C13,"Yes")</f>
        <v>0</v>
      </c>
    </row>
    <row r="16" customFormat="false" ht="15" hidden="false" customHeight="false" outlineLevel="0" collapsed="false">
      <c r="B16" s="23" t="s">
        <v>67</v>
      </c>
      <c r="C16" s="25" t="str">
        <f aca="false">IF(C15=10,"ANALYST: CASE CLOSED","Not yet: "&amp;(10-C15)&amp;" to go")</f>
        <v>Not yet: 10 to go</v>
      </c>
    </row>
    <row r="18" customFormat="false" ht="15" hidden="false" customHeight="false" outlineLevel="0" collapsed="false">
      <c r="B18" s="26" t="s">
        <v>68</v>
      </c>
    </row>
  </sheetData>
  <conditionalFormatting sqref="C4:C13">
    <cfRule type="cellIs" priority="2" operator="equal" aboveAverage="0" equalAverage="0" bottom="0" percent="0" rank="0" text="" dxfId="0">
      <formula>"Yes"</formula>
    </cfRule>
  </conditionalFormatting>
  <dataValidations count="1">
    <dataValidation allowBlank="false" errorStyle="stop" operator="between" showDropDown="false" showErrorMessage="false" showInputMessage="false" sqref="C4:C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8" t="s">
        <v>16</v>
      </c>
    </row>
    <row r="2" customFormat="false" ht="15" hidden="false" customHeight="false" outlineLevel="0" collapsed="false">
      <c r="A2" s="9" t="s">
        <v>69</v>
      </c>
    </row>
    <row r="4" customFormat="false" ht="15" hidden="false" customHeight="false" outlineLevel="0" collapsed="false">
      <c r="A4" s="10" t="s">
        <v>18</v>
      </c>
      <c r="B4" s="11"/>
    </row>
    <row r="5" customFormat="false" ht="21.75" hidden="false" customHeight="true" outlineLevel="0" collapsed="false">
      <c r="A5" s="12" t="s">
        <v>19</v>
      </c>
      <c r="B5" s="27" t="s">
        <v>70</v>
      </c>
    </row>
    <row r="6" customFormat="false" ht="33.75" hidden="false" customHeight="true" outlineLevel="0" collapsed="false">
      <c r="A6" s="12" t="s">
        <v>20</v>
      </c>
      <c r="B6" s="27" t="s">
        <v>71</v>
      </c>
    </row>
    <row r="7" customFormat="false" ht="21.75" hidden="false" customHeight="true" outlineLevel="0" collapsed="false">
      <c r="A7" s="12" t="s">
        <v>21</v>
      </c>
      <c r="B7" s="27" t="s">
        <v>72</v>
      </c>
    </row>
    <row r="8" customFormat="false" ht="33.75" hidden="false" customHeight="true" outlineLevel="0" collapsed="false">
      <c r="A8" s="12" t="s">
        <v>22</v>
      </c>
      <c r="B8" s="27" t="s">
        <v>73</v>
      </c>
    </row>
    <row r="10" customFormat="false" ht="15" hidden="false" customHeight="false" outlineLevel="0" collapsed="false">
      <c r="A10" s="10" t="s">
        <v>23</v>
      </c>
      <c r="B10" s="11"/>
    </row>
    <row r="11" customFormat="false" ht="33.75" hidden="false" customHeight="true" outlineLevel="0" collapsed="false">
      <c r="A11" s="12" t="s">
        <v>24</v>
      </c>
      <c r="B11" s="27" t="s">
        <v>74</v>
      </c>
    </row>
    <row r="12" customFormat="false" ht="33.75" hidden="false" customHeight="true" outlineLevel="0" collapsed="false">
      <c r="A12" s="12" t="s">
        <v>25</v>
      </c>
      <c r="B12" s="27" t="s">
        <v>75</v>
      </c>
    </row>
    <row r="13" customFormat="false" ht="21.75" hidden="false" customHeight="true" outlineLevel="0" collapsed="false">
      <c r="A13" s="12" t="s">
        <v>26</v>
      </c>
      <c r="B13" s="28" t="n">
        <v>8.8</v>
      </c>
    </row>
    <row r="14" customFormat="false" ht="21.75" hidden="false" customHeight="true" outlineLevel="0" collapsed="false">
      <c r="A14" s="12" t="s">
        <v>27</v>
      </c>
      <c r="B14" s="28" t="n">
        <v>7.2</v>
      </c>
    </row>
    <row r="15" customFormat="false" ht="33.75" hidden="false" customHeight="true" outlineLevel="0" collapsed="false">
      <c r="A15" s="12" t="s">
        <v>28</v>
      </c>
      <c r="B15" s="15" t="str">
        <f aca="false">IF(OR(B13="",B14="",B12=""),"",IF(ISNUMBER(SEARCH("accuracy",B12)),IF(B14&lt;B13-10,"Big drop on unseen examples: possible overfitting. Investigate.","Small gap. The score looks trustworthy, with caution."),IF(B14&gt;B13*1.3,"Much worse on unseen examples: possible overfitting. Investigate.","Small gap. The score looks trustworthy, with caution.")))</f>
        <v>Small gap. The score looks trustworthy, with caution.</v>
      </c>
    </row>
    <row r="17" customFormat="false" ht="15" hidden="false" customHeight="false" outlineLevel="0" collapsed="false">
      <c r="A17" s="10" t="s">
        <v>29</v>
      </c>
      <c r="B17" s="11"/>
    </row>
    <row r="18" customFormat="false" ht="21.75" hidden="false" customHeight="true" outlineLevel="0" collapsed="false">
      <c r="A18" s="12" t="s">
        <v>30</v>
      </c>
      <c r="B18" s="27" t="n">
        <v>5</v>
      </c>
    </row>
    <row r="19" customFormat="false" ht="21.75" hidden="false" customHeight="true" outlineLevel="0" collapsed="false">
      <c r="A19" s="12" t="s">
        <v>31</v>
      </c>
      <c r="B19" s="27" t="n">
        <v>3</v>
      </c>
    </row>
    <row r="20" customFormat="false" ht="21.75" hidden="false" customHeight="true" outlineLevel="0" collapsed="false">
      <c r="A20" s="12" t="s">
        <v>32</v>
      </c>
      <c r="B20" s="16" t="n">
        <f aca="false">IF(OR(B18="",B18=0),"",B19/B18)</f>
        <v>0.6</v>
      </c>
    </row>
    <row r="21" customFormat="false" ht="33.75" hidden="false" customHeight="true" outlineLevel="0" collapsed="false">
      <c r="A21" s="12" t="s">
        <v>33</v>
      </c>
      <c r="B21" s="27" t="s">
        <v>76</v>
      </c>
    </row>
    <row r="22" customFormat="false" ht="48" hidden="false" customHeight="true" outlineLevel="0" collapsed="false">
      <c r="A22" s="12" t="s">
        <v>34</v>
      </c>
      <c r="B22" s="27" t="s">
        <v>77</v>
      </c>
    </row>
    <row r="24" customFormat="false" ht="15" hidden="false" customHeight="false" outlineLevel="0" collapsed="false">
      <c r="A24" s="10" t="s">
        <v>35</v>
      </c>
      <c r="B24" s="11"/>
    </row>
    <row r="25" customFormat="false" ht="48" hidden="false" customHeight="true" outlineLevel="0" collapsed="false">
      <c r="A25" s="12" t="s">
        <v>36</v>
      </c>
      <c r="B25" s="27" t="s">
        <v>78</v>
      </c>
    </row>
    <row r="26" customFormat="false" ht="33.75" hidden="false" customHeight="true" outlineLevel="0" collapsed="false">
      <c r="A26" s="12" t="s">
        <v>37</v>
      </c>
      <c r="B26" s="27" t="s">
        <v>79</v>
      </c>
    </row>
    <row r="28" customFormat="false" ht="15" hidden="false" customHeight="false" outlineLevel="0" collapsed="false">
      <c r="A28" s="10" t="s">
        <v>38</v>
      </c>
      <c r="B28" s="11"/>
    </row>
    <row r="29" customFormat="false" ht="33.75" hidden="false" customHeight="true" outlineLevel="0" collapsed="false">
      <c r="A29" s="12" t="s">
        <v>39</v>
      </c>
      <c r="B29" s="27" t="s">
        <v>80</v>
      </c>
    </row>
    <row r="30" customFormat="false" ht="39.75" hidden="false" customHeight="true" outlineLevel="0" collapsed="false">
      <c r="A30" s="12" t="s">
        <v>40</v>
      </c>
      <c r="B30" s="27" t="s">
        <v>81</v>
      </c>
    </row>
    <row r="31" customFormat="false" ht="39.75" hidden="false" customHeight="true" outlineLevel="0" collapsed="false">
      <c r="A31" s="12" t="s">
        <v>41</v>
      </c>
      <c r="B31" s="27" t="s">
        <v>82</v>
      </c>
    </row>
    <row r="32" customFormat="false" ht="21.75" hidden="false" customHeight="true" outlineLevel="0" collapsed="false">
      <c r="A32" s="12" t="s">
        <v>42</v>
      </c>
      <c r="B32" s="27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2026-10-12T13:43:25Z</dcterms:created>
  <dc:creator>openpyxl</dc:creator>
  <dc:description/>
  <dc:language>en-US</dc:language>
  <cp:lastModifiedBy/>
  <dcterms:modified xsi:type="dcterms:W3CDTF">2026-10-12T13:43:25Z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