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raining Log" sheetId="2" state="visible" r:id="rId4"/>
    <sheet name="Test Log" sheetId="3" state="visible" r:id="rId5"/>
    <sheet name="Summary" sheetId="4" state="visible" r:id="rId6"/>
    <sheet name="Example Training" sheetId="5" state="visible" r:id="rId7"/>
    <sheet name="Example Tests" sheetId="6" state="visible" r:id="rId8"/>
    <sheet name="Example 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<sst xmlns="http://schemas.openxmlformats.org/spreadsheetml/2006/main" count="144" uniqueCount="72">
  <si>
    <t xml:space="preserve">RED STRINGS LAB · CASE 09 · Teach a Machine — Training Log</t>
  </si>
  <si>
    <t xml:space="preserve">Every dataset is hiding something.</t>
  </si>
  <si>
    <t xml:space="preserve">You will train a small image classifier in your browser, then test it honestly. This sheet records what you did and how well it worked.</t>
  </si>
  <si>
    <t xml:space="preserve">⚠ The 'Example' tab is MADE UP to show the layout. It is not a real model result.</t>
  </si>
  <si>
    <t xml:space="preserve">TABS</t>
  </si>
  <si>
    <t xml:space="preserve">• Training Log — your classes, how many examples each has, and what you varied (angle, light, background).</t>
  </si>
  <si>
    <t xml:space="preserve">• Test Log — every test: what you showed it, what it guessed, how sure it was. Correct? fills itself.</t>
  </si>
  <si>
    <t xml:space="preserve">• Summary — accuracy overall and per class, and how confident the model was when it was right vs wrong.</t>
  </si>
  <si>
    <t xml:space="preserve">• Example — a made-up filled log so you can see the standard.</t>
  </si>
  <si>
    <t xml:space="preserve">RULES</t>
  </si>
  <si>
    <t xml:space="preserve">1. Train on OBJECTS, drawings or pets. No faces, no other people, no personal photos.</t>
  </si>
  <si>
    <t xml:space="preserve">2. Test on examples you did NOT train on. Testing on training examples proves nothing.</t>
  </si>
  <si>
    <t xml:space="preserve">3. Log failures as carefully as successes. A failure is information.</t>
  </si>
  <si>
    <t xml:space="preserve">4. Check the tool's own privacy and terms links before you use it, and check its age rules for your account.</t>
  </si>
  <si>
    <t xml:space="preserve">5. Saving a project to Google Drive sends it off your device. Don't save anything personal.</t>
  </si>
  <si>
    <t xml:space="preserve">Not affiliated with Google or any tool shown. Free to use for learning. Terms checked: [add date].</t>
  </si>
  <si>
    <t xml:space="preserve">Class name</t>
  </si>
  <si>
    <t xml:space="preserve">Examples I captured</t>
  </si>
  <si>
    <t xml:space="preserve">What I varied (angle / distance / light / background)</t>
  </si>
  <si>
    <t xml:space="preserve">Total examples</t>
  </si>
  <si>
    <t xml:space="preserve">Yellow = yours to fill. Use up to 3 classes here. Include a 'Nothing' class (an empty background) if you can.</t>
  </si>
  <si>
    <t xml:space="preserve">Test #</t>
  </si>
  <si>
    <t xml:space="preserve">What I showed it (true class)</t>
  </si>
  <si>
    <t xml:space="preserve">Model's guess</t>
  </si>
  <si>
    <t xml:space="preserve">Confidence (%)</t>
  </si>
  <si>
    <t xml:space="preserve">Correct?</t>
  </si>
  <si>
    <t xml:space="preserve">Conditions / notes</t>
  </si>
  <si>
    <t xml:space="preserve">Type the class names EXACTLY the same way in both columns. Rows 2 to 31 (30 tests).</t>
  </si>
  <si>
    <t xml:space="preserve">SUMMARY (yours)</t>
  </si>
  <si>
    <t xml:space="preserve">What we calculate</t>
  </si>
  <si>
    <t xml:space="preserve">Result</t>
  </si>
  <si>
    <t xml:space="preserve">What it tells you</t>
  </si>
  <si>
    <t xml:space="preserve">Tests run</t>
  </si>
  <si>
    <t xml:space="preserve">More tests = more trust</t>
  </si>
  <si>
    <t xml:space="preserve">Correct</t>
  </si>
  <si>
    <t xml:space="preserve">Overall accuracy</t>
  </si>
  <si>
    <t xml:space="preserve">One number never tells the whole story</t>
  </si>
  <si>
    <t xml:space="preserve">Average confidence when RIGHT (%)</t>
  </si>
  <si>
    <t xml:space="preserve">How sure it sounds when correct</t>
  </si>
  <si>
    <t xml:space="preserve">Average confidence when WRONG (%)</t>
  </si>
  <si>
    <t xml:space="preserve">If this is high, the model is confidently wrong</t>
  </si>
  <si>
    <t xml:space="preserve">ACCURACY PER CLASS</t>
  </si>
  <si>
    <t xml:space="preserve">Class</t>
  </si>
  <si>
    <t xml:space="preserve">Tests</t>
  </si>
  <si>
    <t xml:space="preserve">Accuracy</t>
  </si>
  <si>
    <t xml:space="preserve">Accuracy is not the whole story: look at WHICH class fails, and under WHICH conditions.</t>
  </si>
  <si>
    <t xml:space="preserve">Mug</t>
  </si>
  <si>
    <t xml:space="preserve">3 angles, 2 distances, desk lamp on and off</t>
  </si>
  <si>
    <t xml:space="preserve">Notebook</t>
  </si>
  <si>
    <t xml:space="preserve">Flat and tilted, 2 backgrounds</t>
  </si>
  <si>
    <t xml:space="preserve">Nothing</t>
  </si>
  <si>
    <t xml:space="preserve">Empty desk, light on and off</t>
  </si>
  <si>
    <t xml:space="preserve">MADE-UP EXAMPLE. Not a real model.</t>
  </si>
  <si>
    <t xml:space="preserve">MADE-UP EXAMPLE. Not a real model result.</t>
  </si>
  <si>
    <t xml:space="preserve">same desk, lamp on</t>
  </si>
  <si>
    <t xml:space="preserve">new angle</t>
  </si>
  <si>
    <t xml:space="preserve">mug on the notebook</t>
  </si>
  <si>
    <t xml:space="preserve">different mug</t>
  </si>
  <si>
    <t xml:space="preserve">same desk</t>
  </si>
  <si>
    <t xml:space="preserve">tilted</t>
  </si>
  <si>
    <t xml:space="preserve">other room, dim light</t>
  </si>
  <si>
    <t xml:space="preserve">new background</t>
  </si>
  <si>
    <t xml:space="preserve">empty desk</t>
  </si>
  <si>
    <t xml:space="preserve">lamp off</t>
  </si>
  <si>
    <t xml:space="preserve">empty desk, my sleeve in frame</t>
  </si>
  <si>
    <t xml:space="preserve">held in hand</t>
  </si>
  <si>
    <t xml:space="preserve">flat</t>
  </si>
  <si>
    <t xml:space="preserve">close up</t>
  </si>
  <si>
    <t xml:space="preserve">different notebook</t>
  </si>
  <si>
    <t xml:space="preserve">far away</t>
  </si>
  <si>
    <t xml:space="preserve">cover half hidden</t>
  </si>
  <si>
    <t xml:space="preserve">SUMMARY (MADE-UP EXAMPLE)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</si>
</sst>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%"/>
    <numFmt numFmtId="167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13D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B00020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14213D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1"/>
      <color rgb="FF14213D"/>
      <name val="Arial"/>
      <family val="0"/>
      <charset val="1"/>
    </font>
    <font>
      <i val="true"/>
      <sz val="11"/>
      <color rgb="FFB0002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i val="true"/>
      <sz val="9"/>
      <color rgb="FFB0002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Accuracy per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Summary!D12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Summary!$A$13:$A$15</c:f>
              <c:strCache>
                <c:ptCount val="3"/>
                <c:pt idx="0">
                  <c:v/>
                </c:pt>
                <c:pt idx="1">
                  <c:v/>
                </c:pt>
                <c:pt idx="2">
                  <c:v/>
                </c:pt>
              </c:strCache>
            </c:strRef>
          </c:cat>
          <c:val>
            <c:numRef>
              <c:f>Summary!$D$13:$D$15</c:f>
              <c:numCache>
                <c:formatCode>General</c:formatCode>
                <c:ptCount val="3"/>
              </c:numCache>
            </c:numRef>
          </c:val>
        </c:ser>
        <c:gapWidth val="150"/>
        <c:overlap val="0"/>
        <c:axId val="89887473"/>
        <c:axId val="4237753"/>
      </c:barChart>
      <c:catAx>
        <c:axId val="898874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7753"/>
        <c:crosses val="autoZero"/>
        <c:auto val="1"/>
        <c:lblAlgn val="ctr"/>
        <c:lblOffset val="100"/>
        <c:noMultiLvlLbl val="0"/>
      </c:catAx>
      <c:valAx>
        <c:axId val="423775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874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Accuracy per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'Example Summary'!D12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'Example Summary'!$A$13:$A$15</c:f>
              <c:strCache>
                <c:ptCount val="3"/>
                <c:pt idx="0">
                  <c:v>Mug</c:v>
                </c:pt>
                <c:pt idx="1">
                  <c:v>Notebook</c:v>
                </c:pt>
                <c:pt idx="2">
                  <c:v>Nothing</c:v>
                </c:pt>
              </c:strCache>
            </c:strRef>
          </c:cat>
          <c:val>
            <c:numRef>
              <c:f>'Example Summary'!$D$13:$D$15</c:f>
              <c:numCache>
                <c:formatCode>0%</c:formatCode>
                <c:ptCount val="3"/>
                <c:pt idx="0">
                  <c:v>0.75</c:v>
                </c:pt>
                <c:pt idx="1">
                  <c:v>0.714285714285714</c:v>
                </c:pt>
                <c:pt idx="2">
                  <c:v>0.8</c:v>
                </c:pt>
              </c:numCache>
            </c:numRef>
          </c:val>
        </c:ser>
        <c:gapWidth val="150"/>
        <c:overlap val="0"/>
        <c:axId val="75867170"/>
        <c:axId val="90169845"/>
      </c:barChart>
      <c:catAx>
        <c:axId val="758671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69845"/>
        <c:crosses val="autoZero"/>
        <c:auto val="1"/>
        <c:lblAlgn val="ctr"/>
        <c:lblOffset val="100"/>
        <c:noMultiLvlLbl val="0"/>
      </c:catAx>
      <c:valAx>
        <c:axId val="9016984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671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12</xdr:col>
      <xdr:colOff>38880</xdr:colOff>
      <xdr:row>15</xdr:row>
      <xdr:rowOff>28440</xdr:rowOff>
    </xdr:to>
    <xdr:graphicFrame>
      <xdr:nvGraphicFramePr>
        <xdr:cNvPr id="0" name="Chart 1"/>
        <xdr:cNvGraphicFramePr/>
      </xdr:nvGraphicFramePr>
      <xdr:xfrm>
        <a:off x="10479240" y="3808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12</xdr:col>
      <xdr:colOff>38880</xdr:colOff>
      <xdr:row>15</xdr:row>
      <xdr:rowOff>28440</xdr:rowOff>
    </xdr:to>
    <xdr:graphicFrame>
      <xdr:nvGraphicFramePr>
        <xdr:cNvPr id="1" name="Chart 1"/>
        <xdr:cNvGraphicFramePr/>
      </xdr:nvGraphicFramePr>
      <xdr:xfrm>
        <a:off x="10479240" y="3808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26.8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3"/>
    </row>
    <row r="8" customFormat="false" ht="15" hidden="false" customHeight="false" outlineLevel="0" collapsed="false">
      <c r="B8" s="6" t="s">
        <v>4</v>
      </c>
    </row>
    <row r="9" customFormat="false" ht="26.8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26.8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3"/>
    </row>
    <row r="14" customFormat="false" ht="15" hidden="false" customHeight="false" outlineLevel="0" collapsed="false">
      <c r="B14" s="6" t="s">
        <v>9</v>
      </c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 t="s">
        <v>12</v>
      </c>
    </row>
    <row r="18" customFormat="false" ht="26.8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7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60"/>
  </cols>
  <sheetData>
    <row r="1" customFormat="false" ht="39.75" hidden="false" customHeight="true" outlineLevel="0" collapsed="false">
      <c r="A1" s="8" t="s">
        <v>16</v>
      </c>
      <c r="B1" s="8" t="s">
        <v>17</v>
      </c>
      <c r="C1" s="8" t="s">
        <v>18</v>
      </c>
    </row>
    <row r="2" customFormat="false" ht="15" hidden="false" customHeight="false" outlineLevel="0" collapsed="false">
      <c r="A2" s="9"/>
      <c r="B2" s="9"/>
      <c r="C2" s="9"/>
    </row>
    <row r="3" customFormat="false" ht="15" hidden="false" customHeight="false" outlineLevel="0" collapsed="false">
      <c r="A3" s="9"/>
      <c r="B3" s="9"/>
      <c r="C3" s="9"/>
    </row>
    <row r="4" customFormat="false" ht="15" hidden="false" customHeight="false" outlineLevel="0" collapsed="false">
      <c r="A4" s="9"/>
      <c r="B4" s="9"/>
      <c r="C4" s="9"/>
    </row>
    <row r="6" customFormat="false" ht="15" hidden="false" customHeight="false" outlineLevel="0" collapsed="false">
      <c r="A6" s="10" t="s">
        <v>19</v>
      </c>
      <c r="B6" s="10" t="n">
        <f aca="false">SUM(B2:B4)</f>
        <v>0</v>
      </c>
    </row>
    <row r="8" customFormat="false" ht="15" hidden="false" customHeight="false" outlineLevel="0" collapsed="false">
      <c r="A8" s="1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39.75" hidden="false" customHeight="true" outlineLevel="0" collapsed="false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H1" s="11" t="s">
        <v>27</v>
      </c>
    </row>
    <row r="2" customFormat="false" ht="15" hidden="false" customHeight="false" outlineLevel="0" collapsed="false">
      <c r="A2" s="12" t="n">
        <v>1</v>
      </c>
      <c r="B2" s="13"/>
      <c r="C2" s="13"/>
      <c r="D2" s="13"/>
      <c r="E2" s="14" t="str">
        <f aca="false">IF(OR(B2="",C2=""),"",IF(B2=C2,"Yes","No"))</f>
        <v/>
      </c>
      <c r="F2" s="13"/>
    </row>
    <row r="3" customFormat="false" ht="15" hidden="false" customHeight="false" outlineLevel="0" collapsed="false">
      <c r="A3" s="12" t="n">
        <v>2</v>
      </c>
      <c r="B3" s="13"/>
      <c r="C3" s="13"/>
      <c r="D3" s="13"/>
      <c r="E3" s="14" t="str">
        <f aca="false">IF(OR(B3="",C3=""),"",IF(B3=C3,"Yes","No"))</f>
        <v/>
      </c>
      <c r="F3" s="13"/>
    </row>
    <row r="4" customFormat="false" ht="15" hidden="false" customHeight="false" outlineLevel="0" collapsed="false">
      <c r="A4" s="12" t="n">
        <v>3</v>
      </c>
      <c r="B4" s="13"/>
      <c r="C4" s="13"/>
      <c r="D4" s="13"/>
      <c r="E4" s="14" t="str">
        <f aca="false">IF(OR(B4="",C4=""),"",IF(B4=C4,"Yes","No"))</f>
        <v/>
      </c>
      <c r="F4" s="13"/>
    </row>
    <row r="5" customFormat="false" ht="15" hidden="false" customHeight="false" outlineLevel="0" collapsed="false">
      <c r="A5" s="12" t="n">
        <v>4</v>
      </c>
      <c r="B5" s="13"/>
      <c r="C5" s="13"/>
      <c r="D5" s="13"/>
      <c r="E5" s="14" t="str">
        <f aca="false">IF(OR(B5="",C5=""),"",IF(B5=C5,"Yes","No"))</f>
        <v/>
      </c>
      <c r="F5" s="13"/>
    </row>
    <row r="6" customFormat="false" ht="15" hidden="false" customHeight="false" outlineLevel="0" collapsed="false">
      <c r="A6" s="12" t="n">
        <v>5</v>
      </c>
      <c r="B6" s="13"/>
      <c r="C6" s="13"/>
      <c r="D6" s="13"/>
      <c r="E6" s="14" t="str">
        <f aca="false">IF(OR(B6="",C6=""),"",IF(B6=C6,"Yes","No"))</f>
        <v/>
      </c>
      <c r="F6" s="13"/>
    </row>
    <row r="7" customFormat="false" ht="15" hidden="false" customHeight="false" outlineLevel="0" collapsed="false">
      <c r="A7" s="12" t="n">
        <v>6</v>
      </c>
      <c r="B7" s="13"/>
      <c r="C7" s="13"/>
      <c r="D7" s="13"/>
      <c r="E7" s="14" t="str">
        <f aca="false">IF(OR(B7="",C7=""),"",IF(B7=C7,"Yes","No"))</f>
        <v/>
      </c>
      <c r="F7" s="13"/>
    </row>
    <row r="8" customFormat="false" ht="15" hidden="false" customHeight="false" outlineLevel="0" collapsed="false">
      <c r="A8" s="12" t="n">
        <v>7</v>
      </c>
      <c r="B8" s="13"/>
      <c r="C8" s="13"/>
      <c r="D8" s="13"/>
      <c r="E8" s="14" t="str">
        <f aca="false">IF(OR(B8="",C8=""),"",IF(B8=C8,"Yes","No"))</f>
        <v/>
      </c>
      <c r="F8" s="13"/>
    </row>
    <row r="9" customFormat="false" ht="15" hidden="false" customHeight="false" outlineLevel="0" collapsed="false">
      <c r="A9" s="12" t="n">
        <v>8</v>
      </c>
      <c r="B9" s="13"/>
      <c r="C9" s="13"/>
      <c r="D9" s="13"/>
      <c r="E9" s="14" t="str">
        <f aca="false">IF(OR(B9="",C9=""),"",IF(B9=C9,"Yes","No"))</f>
        <v/>
      </c>
      <c r="F9" s="13"/>
    </row>
    <row r="10" customFormat="false" ht="15" hidden="false" customHeight="false" outlineLevel="0" collapsed="false">
      <c r="A10" s="12" t="n">
        <v>9</v>
      </c>
      <c r="B10" s="13"/>
      <c r="C10" s="13"/>
      <c r="D10" s="13"/>
      <c r="E10" s="14" t="str">
        <f aca="false">IF(OR(B10="",C10=""),"",IF(B10=C10,"Yes","No"))</f>
        <v/>
      </c>
      <c r="F10" s="13"/>
    </row>
    <row r="11" customFormat="false" ht="15" hidden="false" customHeight="false" outlineLevel="0" collapsed="false">
      <c r="A11" s="12" t="n">
        <v>10</v>
      </c>
      <c r="B11" s="13"/>
      <c r="C11" s="13"/>
      <c r="D11" s="13"/>
      <c r="E11" s="14" t="str">
        <f aca="false">IF(OR(B11="",C11=""),"",IF(B11=C11,"Yes","No"))</f>
        <v/>
      </c>
      <c r="F11" s="13"/>
    </row>
    <row r="12" customFormat="false" ht="15" hidden="false" customHeight="false" outlineLevel="0" collapsed="false">
      <c r="A12" s="12" t="n">
        <v>11</v>
      </c>
      <c r="B12" s="13"/>
      <c r="C12" s="13"/>
      <c r="D12" s="13"/>
      <c r="E12" s="14" t="str">
        <f aca="false">IF(OR(B12="",C12=""),"",IF(B12=C12,"Yes","No"))</f>
        <v/>
      </c>
      <c r="F12" s="13"/>
    </row>
    <row r="13" customFormat="false" ht="15" hidden="false" customHeight="false" outlineLevel="0" collapsed="false">
      <c r="A13" s="12" t="n">
        <v>12</v>
      </c>
      <c r="B13" s="13"/>
      <c r="C13" s="13"/>
      <c r="D13" s="13"/>
      <c r="E13" s="14" t="str">
        <f aca="false">IF(OR(B13="",C13=""),"",IF(B13=C13,"Yes","No"))</f>
        <v/>
      </c>
      <c r="F13" s="13"/>
    </row>
    <row r="14" customFormat="false" ht="15" hidden="false" customHeight="false" outlineLevel="0" collapsed="false">
      <c r="A14" s="12" t="n">
        <v>13</v>
      </c>
      <c r="B14" s="13"/>
      <c r="C14" s="13"/>
      <c r="D14" s="13"/>
      <c r="E14" s="14" t="str">
        <f aca="false">IF(OR(B14="",C14=""),"",IF(B14=C14,"Yes","No"))</f>
        <v/>
      </c>
      <c r="F14" s="13"/>
    </row>
    <row r="15" customFormat="false" ht="15" hidden="false" customHeight="false" outlineLevel="0" collapsed="false">
      <c r="A15" s="12" t="n">
        <v>14</v>
      </c>
      <c r="B15" s="13"/>
      <c r="C15" s="13"/>
      <c r="D15" s="13"/>
      <c r="E15" s="14" t="str">
        <f aca="false">IF(OR(B15="",C15=""),"",IF(B15=C15,"Yes","No"))</f>
        <v/>
      </c>
      <c r="F15" s="13"/>
    </row>
    <row r="16" customFormat="false" ht="15" hidden="false" customHeight="false" outlineLevel="0" collapsed="false">
      <c r="A16" s="12" t="n">
        <v>15</v>
      </c>
      <c r="B16" s="13"/>
      <c r="C16" s="13"/>
      <c r="D16" s="13"/>
      <c r="E16" s="14" t="str">
        <f aca="false">IF(OR(B16="",C16=""),"",IF(B16=C16,"Yes","No"))</f>
        <v/>
      </c>
      <c r="F16" s="13"/>
    </row>
    <row r="17" customFormat="false" ht="15" hidden="false" customHeight="false" outlineLevel="0" collapsed="false">
      <c r="A17" s="12" t="n">
        <v>16</v>
      </c>
      <c r="B17" s="13"/>
      <c r="C17" s="13"/>
      <c r="D17" s="13"/>
      <c r="E17" s="14" t="str">
        <f aca="false">IF(OR(B17="",C17=""),"",IF(B17=C17,"Yes","No"))</f>
        <v/>
      </c>
      <c r="F17" s="13"/>
    </row>
    <row r="18" customFormat="false" ht="15" hidden="false" customHeight="false" outlineLevel="0" collapsed="false">
      <c r="A18" s="12" t="n">
        <v>17</v>
      </c>
      <c r="B18" s="13"/>
      <c r="C18" s="13"/>
      <c r="D18" s="13"/>
      <c r="E18" s="14" t="str">
        <f aca="false">IF(OR(B18="",C18=""),"",IF(B18=C18,"Yes","No"))</f>
        <v/>
      </c>
      <c r="F18" s="13"/>
    </row>
    <row r="19" customFormat="false" ht="15" hidden="false" customHeight="false" outlineLevel="0" collapsed="false">
      <c r="A19" s="12" t="n">
        <v>18</v>
      </c>
      <c r="B19" s="13"/>
      <c r="C19" s="13"/>
      <c r="D19" s="13"/>
      <c r="E19" s="14" t="str">
        <f aca="false">IF(OR(B19="",C19=""),"",IF(B19=C19,"Yes","No"))</f>
        <v/>
      </c>
      <c r="F19" s="13"/>
    </row>
    <row r="20" customFormat="false" ht="15" hidden="false" customHeight="false" outlineLevel="0" collapsed="false">
      <c r="A20" s="12" t="n">
        <v>19</v>
      </c>
      <c r="B20" s="13"/>
      <c r="C20" s="13"/>
      <c r="D20" s="13"/>
      <c r="E20" s="14" t="str">
        <f aca="false">IF(OR(B20="",C20=""),"",IF(B20=C20,"Yes","No"))</f>
        <v/>
      </c>
      <c r="F20" s="13"/>
    </row>
    <row r="21" customFormat="false" ht="15" hidden="false" customHeight="false" outlineLevel="0" collapsed="false">
      <c r="A21" s="12" t="n">
        <v>20</v>
      </c>
      <c r="B21" s="13"/>
      <c r="C21" s="13"/>
      <c r="D21" s="13"/>
      <c r="E21" s="14" t="str">
        <f aca="false">IF(OR(B21="",C21=""),"",IF(B21=C21,"Yes","No"))</f>
        <v/>
      </c>
      <c r="F21" s="13"/>
    </row>
    <row r="22" customFormat="false" ht="15" hidden="false" customHeight="false" outlineLevel="0" collapsed="false">
      <c r="A22" s="12" t="n">
        <v>21</v>
      </c>
      <c r="B22" s="13"/>
      <c r="C22" s="13"/>
      <c r="D22" s="13"/>
      <c r="E22" s="14" t="str">
        <f aca="false">IF(OR(B22="",C22=""),"",IF(B22=C22,"Yes","No"))</f>
        <v/>
      </c>
      <c r="F22" s="13"/>
    </row>
    <row r="23" customFormat="false" ht="15" hidden="false" customHeight="false" outlineLevel="0" collapsed="false">
      <c r="A23" s="12" t="n">
        <v>22</v>
      </c>
      <c r="B23" s="13"/>
      <c r="C23" s="13"/>
      <c r="D23" s="13"/>
      <c r="E23" s="14" t="str">
        <f aca="false">IF(OR(B23="",C23=""),"",IF(B23=C23,"Yes","No"))</f>
        <v/>
      </c>
      <c r="F23" s="13"/>
    </row>
    <row r="24" customFormat="false" ht="15" hidden="false" customHeight="false" outlineLevel="0" collapsed="false">
      <c r="A24" s="12" t="n">
        <v>23</v>
      </c>
      <c r="B24" s="13"/>
      <c r="C24" s="13"/>
      <c r="D24" s="13"/>
      <c r="E24" s="14" t="str">
        <f aca="false">IF(OR(B24="",C24=""),"",IF(B24=C24,"Yes","No"))</f>
        <v/>
      </c>
      <c r="F24" s="13"/>
    </row>
    <row r="25" customFormat="false" ht="15" hidden="false" customHeight="false" outlineLevel="0" collapsed="false">
      <c r="A25" s="12" t="n">
        <v>24</v>
      </c>
      <c r="B25" s="13"/>
      <c r="C25" s="13"/>
      <c r="D25" s="13"/>
      <c r="E25" s="14" t="str">
        <f aca="false">IF(OR(B25="",C25=""),"",IF(B25=C25,"Yes","No"))</f>
        <v/>
      </c>
      <c r="F25" s="13"/>
    </row>
    <row r="26" customFormat="false" ht="15" hidden="false" customHeight="false" outlineLevel="0" collapsed="false">
      <c r="A26" s="12" t="n">
        <v>25</v>
      </c>
      <c r="B26" s="13"/>
      <c r="C26" s="13"/>
      <c r="D26" s="13"/>
      <c r="E26" s="14" t="str">
        <f aca="false">IF(OR(B26="",C26=""),"",IF(B26=C26,"Yes","No"))</f>
        <v/>
      </c>
      <c r="F26" s="13"/>
    </row>
    <row r="27" customFormat="false" ht="15" hidden="false" customHeight="false" outlineLevel="0" collapsed="false">
      <c r="A27" s="12" t="n">
        <v>26</v>
      </c>
      <c r="B27" s="13"/>
      <c r="C27" s="13"/>
      <c r="D27" s="13"/>
      <c r="E27" s="14" t="str">
        <f aca="false">IF(OR(B27="",C27=""),"",IF(B27=C27,"Yes","No"))</f>
        <v/>
      </c>
      <c r="F27" s="13"/>
    </row>
    <row r="28" customFormat="false" ht="15" hidden="false" customHeight="false" outlineLevel="0" collapsed="false">
      <c r="A28" s="12" t="n">
        <v>27</v>
      </c>
      <c r="B28" s="13"/>
      <c r="C28" s="13"/>
      <c r="D28" s="13"/>
      <c r="E28" s="14" t="str">
        <f aca="false">IF(OR(B28="",C28=""),"",IF(B28=C28,"Yes","No"))</f>
        <v/>
      </c>
      <c r="F28" s="13"/>
    </row>
    <row r="29" customFormat="false" ht="15" hidden="false" customHeight="false" outlineLevel="0" collapsed="false">
      <c r="A29" s="12" t="n">
        <v>28</v>
      </c>
      <c r="B29" s="13"/>
      <c r="C29" s="13"/>
      <c r="D29" s="13"/>
      <c r="E29" s="14" t="str">
        <f aca="false">IF(OR(B29="",C29=""),"",IF(B29=C29,"Yes","No"))</f>
        <v/>
      </c>
      <c r="F29" s="13"/>
    </row>
    <row r="30" customFormat="false" ht="15" hidden="false" customHeight="false" outlineLevel="0" collapsed="false">
      <c r="A30" s="12" t="n">
        <v>29</v>
      </c>
      <c r="B30" s="13"/>
      <c r="C30" s="13"/>
      <c r="D30" s="13"/>
      <c r="E30" s="14" t="str">
        <f aca="false">IF(OR(B30="",C30=""),"",IF(B30=C30,"Yes","No"))</f>
        <v/>
      </c>
      <c r="F30" s="13"/>
    </row>
    <row r="31" customFormat="false" ht="15" hidden="false" customHeight="false" outlineLevel="0" collapsed="false">
      <c r="A31" s="12" t="n">
        <v>30</v>
      </c>
      <c r="B31" s="13"/>
      <c r="C31" s="13"/>
      <c r="D31" s="13"/>
      <c r="E31" s="14" t="str">
        <f aca="false">IF(OR(B31="",C31=""),"",IF(B31=C31,"Yes","No"))</f>
        <v/>
      </c>
      <c r="F31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6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5" t="s">
        <v>28</v>
      </c>
    </row>
    <row r="3" customFormat="false" ht="15" hidden="false" customHeight="false" outlineLevel="0" collapsed="false">
      <c r="A3" s="8" t="s">
        <v>29</v>
      </c>
      <c r="B3" s="8" t="s">
        <v>30</v>
      </c>
      <c r="C3" s="8"/>
      <c r="D3" s="8" t="s">
        <v>31</v>
      </c>
    </row>
    <row r="4" customFormat="false" ht="15" hidden="false" customHeight="false" outlineLevel="0" collapsed="false">
      <c r="A4" s="16" t="s">
        <v>32</v>
      </c>
      <c r="B4" s="17" t="n">
        <f aca="false">COUNTA('Test Log'!B2:B31)</f>
        <v>0</v>
      </c>
      <c r="D4" s="18" t="s">
        <v>33</v>
      </c>
    </row>
    <row r="5" customFormat="false" ht="15" hidden="false" customHeight="false" outlineLevel="0" collapsed="false">
      <c r="A5" s="16" t="s">
        <v>34</v>
      </c>
      <c r="B5" s="17" t="n">
        <f aca="false">COUNTIF('Test Log'!E2:E31,"Yes")</f>
        <v>0</v>
      </c>
      <c r="D5" s="18"/>
    </row>
    <row r="6" customFormat="false" ht="15" hidden="false" customHeight="false" outlineLevel="0" collapsed="false">
      <c r="A6" s="16" t="s">
        <v>35</v>
      </c>
      <c r="B6" s="19" t="str">
        <f aca="false">IFERROR(B5/B4,"")</f>
        <v/>
      </c>
      <c r="D6" s="18" t="s">
        <v>36</v>
      </c>
    </row>
    <row r="7" customFormat="false" ht="15" hidden="false" customHeight="false" outlineLevel="0" collapsed="false">
      <c r="A7" s="16" t="s">
        <v>37</v>
      </c>
      <c r="B7" s="20" t="str">
        <f aca="false">IFERROR(AVERAGEIFS('Test Log'!D2:D31,'Test Log'!E2:E31,"Yes"),"")</f>
        <v/>
      </c>
      <c r="D7" s="18" t="s">
        <v>38</v>
      </c>
    </row>
    <row r="8" customFormat="false" ht="15" hidden="false" customHeight="false" outlineLevel="0" collapsed="false">
      <c r="A8" s="16" t="s">
        <v>39</v>
      </c>
      <c r="B8" s="20" t="str">
        <f aca="false">IFERROR(AVERAGEIFS('Test Log'!D2:D31,'Test Log'!E2:E31,"No"),"")</f>
        <v/>
      </c>
      <c r="D8" s="18" t="s">
        <v>40</v>
      </c>
    </row>
    <row r="11" customFormat="false" ht="15" hidden="false" customHeight="false" outlineLevel="0" collapsed="false">
      <c r="A11" s="21" t="s">
        <v>41</v>
      </c>
    </row>
    <row r="12" customFormat="false" ht="15" hidden="false" customHeight="false" outlineLevel="0" collapsed="false">
      <c r="A12" s="8" t="s">
        <v>42</v>
      </c>
      <c r="B12" s="8" t="s">
        <v>43</v>
      </c>
      <c r="C12" s="8" t="s">
        <v>34</v>
      </c>
      <c r="D12" s="8" t="s">
        <v>44</v>
      </c>
    </row>
    <row r="13" customFormat="false" ht="15" hidden="false" customHeight="false" outlineLevel="0" collapsed="false">
      <c r="A13" s="22" t="str">
        <f aca="false">IF('Training Log'!A2="","",'Training Log'!A2)</f>
        <v/>
      </c>
      <c r="B13" s="22" t="str">
        <f aca="false">IF(A13="","",COUNTIF('Test Log'!B2:B31,A13))</f>
        <v/>
      </c>
      <c r="C13" s="22" t="str">
        <f aca="false">IF(A13="","",COUNTIFS('Test Log'!B2:B31,A13,'Test Log'!E2:E31,"Yes"))</f>
        <v/>
      </c>
      <c r="D13" s="23" t="str">
        <f aca="false">IF(OR(A13="",B13=0),"",C13/B13)</f>
        <v/>
      </c>
    </row>
    <row r="14" customFormat="false" ht="15" hidden="false" customHeight="false" outlineLevel="0" collapsed="false">
      <c r="A14" s="22" t="str">
        <f aca="false">IF('Training Log'!A3="","",'Training Log'!A3)</f>
        <v/>
      </c>
      <c r="B14" s="22" t="str">
        <f aca="false">IF(A14="","",COUNTIF('Test Log'!B2:B31,A14))</f>
        <v/>
      </c>
      <c r="C14" s="22" t="str">
        <f aca="false">IF(A14="","",COUNTIFS('Test Log'!B2:B31,A14,'Test Log'!E2:E31,"Yes"))</f>
        <v/>
      </c>
      <c r="D14" s="23" t="str">
        <f aca="false">IF(OR(A14="",B14=0),"",C14/B14)</f>
        <v/>
      </c>
    </row>
    <row r="15" customFormat="false" ht="15" hidden="false" customHeight="false" outlineLevel="0" collapsed="false">
      <c r="A15" s="22" t="str">
        <f aca="false">IF('Training Log'!A4="","",'Training Log'!A4)</f>
        <v/>
      </c>
      <c r="B15" s="22" t="str">
        <f aca="false">IF(A15="","",COUNTIF('Test Log'!B2:B31,A15))</f>
        <v/>
      </c>
      <c r="C15" s="22" t="str">
        <f aca="false">IF(A15="","",COUNTIFS('Test Log'!B2:B31,A15,'Test Log'!E2:E31,"Yes"))</f>
        <v/>
      </c>
      <c r="D15" s="23" t="str">
        <f aca="false">IF(OR(A15="",B15=0),"",C15/B15)</f>
        <v/>
      </c>
    </row>
    <row r="17" customFormat="false" ht="15" hidden="false" customHeight="false" outlineLevel="0" collapsed="false">
      <c r="A17" s="2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60"/>
  </cols>
  <sheetData>
    <row r="1" customFormat="false" ht="39.75" hidden="false" customHeight="true" outlineLevel="0" collapsed="false">
      <c r="A1" s="8" t="s">
        <v>16</v>
      </c>
      <c r="B1" s="8" t="s">
        <v>17</v>
      </c>
      <c r="C1" s="8" t="s">
        <v>18</v>
      </c>
    </row>
    <row r="2" customFormat="false" ht="15" hidden="false" customHeight="false" outlineLevel="0" collapsed="false">
      <c r="A2" s="25" t="s">
        <v>46</v>
      </c>
      <c r="B2" s="25" t="n">
        <v>40</v>
      </c>
      <c r="C2" s="25" t="s">
        <v>47</v>
      </c>
    </row>
    <row r="3" customFormat="false" ht="15" hidden="false" customHeight="false" outlineLevel="0" collapsed="false">
      <c r="A3" s="25" t="s">
        <v>48</v>
      </c>
      <c r="B3" s="25" t="n">
        <v>40</v>
      </c>
      <c r="C3" s="25" t="s">
        <v>49</v>
      </c>
    </row>
    <row r="4" customFormat="false" ht="15" hidden="false" customHeight="false" outlineLevel="0" collapsed="false">
      <c r="A4" s="25" t="s">
        <v>50</v>
      </c>
      <c r="B4" s="25" t="n">
        <v>30</v>
      </c>
      <c r="C4" s="25" t="s">
        <v>51</v>
      </c>
    </row>
    <row r="6" customFormat="false" ht="15" hidden="false" customHeight="false" outlineLevel="0" collapsed="false">
      <c r="A6" s="10" t="s">
        <v>19</v>
      </c>
      <c r="B6" s="10" t="n">
        <f aca="false">SUM(B2:B4)</f>
        <v>110</v>
      </c>
    </row>
    <row r="8" customFormat="false" ht="15" hidden="false" customHeight="false" outlineLevel="0" collapsed="false">
      <c r="A8" s="26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39.75" hidden="false" customHeight="true" outlineLevel="0" collapsed="false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H1" s="26" t="s">
        <v>53</v>
      </c>
    </row>
    <row r="2" customFormat="false" ht="15" hidden="false" customHeight="false" outlineLevel="0" collapsed="false">
      <c r="A2" s="12" t="n">
        <v>1</v>
      </c>
      <c r="B2" s="27" t="s">
        <v>46</v>
      </c>
      <c r="C2" s="27" t="s">
        <v>46</v>
      </c>
      <c r="D2" s="27" t="n">
        <v>98</v>
      </c>
      <c r="E2" s="14" t="str">
        <f aca="false">IF(OR(B2="",C2=""),"",IF(B2=C2,"Yes","No"))</f>
        <v>Yes</v>
      </c>
      <c r="F2" s="28" t="s">
        <v>54</v>
      </c>
    </row>
    <row r="3" customFormat="false" ht="15" hidden="false" customHeight="false" outlineLevel="0" collapsed="false">
      <c r="A3" s="12" t="n">
        <v>2</v>
      </c>
      <c r="B3" s="27" t="s">
        <v>46</v>
      </c>
      <c r="C3" s="27" t="s">
        <v>46</v>
      </c>
      <c r="D3" s="27" t="n">
        <v>95</v>
      </c>
      <c r="E3" s="14" t="str">
        <f aca="false">IF(OR(B3="",C3=""),"",IF(B3=C3,"Yes","No"))</f>
        <v>Yes</v>
      </c>
      <c r="F3" s="28" t="s">
        <v>55</v>
      </c>
    </row>
    <row r="4" customFormat="false" ht="15" hidden="false" customHeight="false" outlineLevel="0" collapsed="false">
      <c r="A4" s="12" t="n">
        <v>3</v>
      </c>
      <c r="B4" s="27" t="s">
        <v>46</v>
      </c>
      <c r="C4" s="27" t="s">
        <v>48</v>
      </c>
      <c r="D4" s="27" t="n">
        <v>61</v>
      </c>
      <c r="E4" s="14" t="str">
        <f aca="false">IF(OR(B4="",C4=""),"",IF(B4=C4,"Yes","No"))</f>
        <v>No</v>
      </c>
      <c r="F4" s="28" t="s">
        <v>56</v>
      </c>
    </row>
    <row r="5" customFormat="false" ht="15" hidden="false" customHeight="false" outlineLevel="0" collapsed="false">
      <c r="A5" s="12" t="n">
        <v>4</v>
      </c>
      <c r="B5" s="27" t="s">
        <v>46</v>
      </c>
      <c r="C5" s="27" t="s">
        <v>46</v>
      </c>
      <c r="D5" s="27" t="n">
        <v>90</v>
      </c>
      <c r="E5" s="14" t="str">
        <f aca="false">IF(OR(B5="",C5=""),"",IF(B5=C5,"Yes","No"))</f>
        <v>Yes</v>
      </c>
      <c r="F5" s="28" t="s">
        <v>57</v>
      </c>
    </row>
    <row r="6" customFormat="false" ht="15" hidden="false" customHeight="false" outlineLevel="0" collapsed="false">
      <c r="A6" s="12" t="n">
        <v>5</v>
      </c>
      <c r="B6" s="27" t="s">
        <v>48</v>
      </c>
      <c r="C6" s="27" t="s">
        <v>48</v>
      </c>
      <c r="D6" s="27" t="n">
        <v>97</v>
      </c>
      <c r="E6" s="14" t="str">
        <f aca="false">IF(OR(B6="",C6=""),"",IF(B6=C6,"Yes","No"))</f>
        <v>Yes</v>
      </c>
      <c r="F6" s="28" t="s">
        <v>58</v>
      </c>
    </row>
    <row r="7" customFormat="false" ht="15" hidden="false" customHeight="false" outlineLevel="0" collapsed="false">
      <c r="A7" s="12" t="n">
        <v>6</v>
      </c>
      <c r="B7" s="27" t="s">
        <v>48</v>
      </c>
      <c r="C7" s="27" t="s">
        <v>48</v>
      </c>
      <c r="D7" s="27" t="n">
        <v>92</v>
      </c>
      <c r="E7" s="14" t="str">
        <f aca="false">IF(OR(B7="",C7=""),"",IF(B7=C7,"Yes","No"))</f>
        <v>Yes</v>
      </c>
      <c r="F7" s="28" t="s">
        <v>59</v>
      </c>
    </row>
    <row r="8" customFormat="false" ht="15" hidden="false" customHeight="false" outlineLevel="0" collapsed="false">
      <c r="A8" s="12" t="n">
        <v>7</v>
      </c>
      <c r="B8" s="27" t="s">
        <v>48</v>
      </c>
      <c r="C8" s="27" t="s">
        <v>46</v>
      </c>
      <c r="D8" s="27" t="n">
        <v>55</v>
      </c>
      <c r="E8" s="14" t="str">
        <f aca="false">IF(OR(B8="",C8=""),"",IF(B8=C8,"Yes","No"))</f>
        <v>No</v>
      </c>
      <c r="F8" s="28" t="s">
        <v>60</v>
      </c>
    </row>
    <row r="9" customFormat="false" ht="15" hidden="false" customHeight="false" outlineLevel="0" collapsed="false">
      <c r="A9" s="12" t="n">
        <v>8</v>
      </c>
      <c r="B9" s="27" t="s">
        <v>48</v>
      </c>
      <c r="C9" s="27" t="s">
        <v>48</v>
      </c>
      <c r="D9" s="27" t="n">
        <v>88</v>
      </c>
      <c r="E9" s="14" t="str">
        <f aca="false">IF(OR(B9="",C9=""),"",IF(B9=C9,"Yes","No"))</f>
        <v>Yes</v>
      </c>
      <c r="F9" s="28" t="s">
        <v>61</v>
      </c>
    </row>
    <row r="10" customFormat="false" ht="15" hidden="false" customHeight="false" outlineLevel="0" collapsed="false">
      <c r="A10" s="12" t="n">
        <v>9</v>
      </c>
      <c r="B10" s="27" t="s">
        <v>50</v>
      </c>
      <c r="C10" s="27" t="s">
        <v>50</v>
      </c>
      <c r="D10" s="27" t="n">
        <v>99</v>
      </c>
      <c r="E10" s="14" t="str">
        <f aca="false">IF(OR(B10="",C10=""),"",IF(B10=C10,"Yes","No"))</f>
        <v>Yes</v>
      </c>
      <c r="F10" s="28" t="s">
        <v>62</v>
      </c>
    </row>
    <row r="11" customFormat="false" ht="15" hidden="false" customHeight="false" outlineLevel="0" collapsed="false">
      <c r="A11" s="12" t="n">
        <v>10</v>
      </c>
      <c r="B11" s="27" t="s">
        <v>50</v>
      </c>
      <c r="C11" s="27" t="s">
        <v>50</v>
      </c>
      <c r="D11" s="27" t="n">
        <v>96</v>
      </c>
      <c r="E11" s="14" t="str">
        <f aca="false">IF(OR(B11="",C11=""),"",IF(B11=C11,"Yes","No"))</f>
        <v>Yes</v>
      </c>
      <c r="F11" s="28" t="s">
        <v>63</v>
      </c>
    </row>
    <row r="12" customFormat="false" ht="15" hidden="false" customHeight="false" outlineLevel="0" collapsed="false">
      <c r="A12" s="12" t="n">
        <v>11</v>
      </c>
      <c r="B12" s="27" t="s">
        <v>50</v>
      </c>
      <c r="C12" s="27" t="s">
        <v>46</v>
      </c>
      <c r="D12" s="27" t="n">
        <v>72</v>
      </c>
      <c r="E12" s="14" t="str">
        <f aca="false">IF(OR(B12="",C12=""),"",IF(B12=C12,"Yes","No"))</f>
        <v>No</v>
      </c>
      <c r="F12" s="28" t="s">
        <v>64</v>
      </c>
    </row>
    <row r="13" customFormat="false" ht="15" hidden="false" customHeight="false" outlineLevel="0" collapsed="false">
      <c r="A13" s="12" t="n">
        <v>12</v>
      </c>
      <c r="B13" s="27" t="s">
        <v>46</v>
      </c>
      <c r="C13" s="27" t="s">
        <v>46</v>
      </c>
      <c r="D13" s="27" t="n">
        <v>93</v>
      </c>
      <c r="E13" s="14" t="str">
        <f aca="false">IF(OR(B13="",C13=""),"",IF(B13=C13,"Yes","No"))</f>
        <v>Yes</v>
      </c>
      <c r="F13" s="28" t="s">
        <v>65</v>
      </c>
    </row>
    <row r="14" customFormat="false" ht="15" hidden="false" customHeight="false" outlineLevel="0" collapsed="false">
      <c r="A14" s="12" t="n">
        <v>13</v>
      </c>
      <c r="B14" s="27" t="s">
        <v>46</v>
      </c>
      <c r="C14" s="27" t="s">
        <v>48</v>
      </c>
      <c r="D14" s="27" t="n">
        <v>58</v>
      </c>
      <c r="E14" s="14" t="str">
        <f aca="false">IF(OR(B14="",C14=""),"",IF(B14=C14,"Yes","No"))</f>
        <v>No</v>
      </c>
      <c r="F14" s="28" t="s">
        <v>60</v>
      </c>
    </row>
    <row r="15" customFormat="false" ht="15" hidden="false" customHeight="false" outlineLevel="0" collapsed="false">
      <c r="A15" s="12" t="n">
        <v>14</v>
      </c>
      <c r="B15" s="27" t="s">
        <v>48</v>
      </c>
      <c r="C15" s="27" t="s">
        <v>48</v>
      </c>
      <c r="D15" s="27" t="n">
        <v>94</v>
      </c>
      <c r="E15" s="14" t="str">
        <f aca="false">IF(OR(B15="",C15=""),"",IF(B15=C15,"Yes","No"))</f>
        <v>Yes</v>
      </c>
      <c r="F15" s="28" t="s">
        <v>66</v>
      </c>
    </row>
    <row r="16" customFormat="false" ht="15" hidden="false" customHeight="false" outlineLevel="0" collapsed="false">
      <c r="A16" s="12" t="n">
        <v>15</v>
      </c>
      <c r="B16" s="27" t="s">
        <v>50</v>
      </c>
      <c r="C16" s="27" t="s">
        <v>50</v>
      </c>
      <c r="D16" s="27" t="n">
        <v>97</v>
      </c>
      <c r="E16" s="14" t="str">
        <f aca="false">IF(OR(B16="",C16=""),"",IF(B16=C16,"Yes","No"))</f>
        <v>Yes</v>
      </c>
      <c r="F16" s="28" t="s">
        <v>62</v>
      </c>
    </row>
    <row r="17" customFormat="false" ht="15" hidden="false" customHeight="false" outlineLevel="0" collapsed="false">
      <c r="A17" s="12" t="n">
        <v>16</v>
      </c>
      <c r="B17" s="27" t="s">
        <v>46</v>
      </c>
      <c r="C17" s="27" t="s">
        <v>46</v>
      </c>
      <c r="D17" s="27" t="n">
        <v>96</v>
      </c>
      <c r="E17" s="14" t="str">
        <f aca="false">IF(OR(B17="",C17=""),"",IF(B17=C17,"Yes","No"))</f>
        <v>Yes</v>
      </c>
      <c r="F17" s="28" t="s">
        <v>67</v>
      </c>
    </row>
    <row r="18" customFormat="false" ht="15" hidden="false" customHeight="false" outlineLevel="0" collapsed="false">
      <c r="A18" s="12" t="n">
        <v>17</v>
      </c>
      <c r="B18" s="27" t="s">
        <v>48</v>
      </c>
      <c r="C18" s="27" t="s">
        <v>48</v>
      </c>
      <c r="D18" s="27" t="n">
        <v>91</v>
      </c>
      <c r="E18" s="14" t="str">
        <f aca="false">IF(OR(B18="",C18=""),"",IF(B18=C18,"Yes","No"))</f>
        <v>Yes</v>
      </c>
      <c r="F18" s="28" t="s">
        <v>68</v>
      </c>
    </row>
    <row r="19" customFormat="false" ht="15" hidden="false" customHeight="false" outlineLevel="0" collapsed="false">
      <c r="A19" s="12" t="n">
        <v>18</v>
      </c>
      <c r="B19" s="27" t="s">
        <v>46</v>
      </c>
      <c r="C19" s="27" t="s">
        <v>46</v>
      </c>
      <c r="D19" s="27" t="n">
        <v>89</v>
      </c>
      <c r="E19" s="14" t="str">
        <f aca="false">IF(OR(B19="",C19=""),"",IF(B19=C19,"Yes","No"))</f>
        <v>Yes</v>
      </c>
      <c r="F19" s="28" t="s">
        <v>69</v>
      </c>
    </row>
    <row r="20" customFormat="false" ht="15" hidden="false" customHeight="false" outlineLevel="0" collapsed="false">
      <c r="A20" s="12" t="n">
        <v>19</v>
      </c>
      <c r="B20" s="27" t="s">
        <v>50</v>
      </c>
      <c r="C20" s="27" t="s">
        <v>50</v>
      </c>
      <c r="D20" s="27" t="n">
        <v>95</v>
      </c>
      <c r="E20" s="14" t="str">
        <f aca="false">IF(OR(B20="",C20=""),"",IF(B20=C20,"Yes","No"))</f>
        <v>Yes</v>
      </c>
      <c r="F20" s="28" t="s">
        <v>61</v>
      </c>
    </row>
    <row r="21" customFormat="false" ht="15" hidden="false" customHeight="false" outlineLevel="0" collapsed="false">
      <c r="A21" s="12" t="n">
        <v>20</v>
      </c>
      <c r="B21" s="27" t="s">
        <v>48</v>
      </c>
      <c r="C21" s="27" t="s">
        <v>46</v>
      </c>
      <c r="D21" s="27" t="n">
        <v>66</v>
      </c>
      <c r="E21" s="14" t="str">
        <f aca="false">IF(OR(B21="",C21=""),"",IF(B21=C21,"Yes","No"))</f>
        <v>No</v>
      </c>
      <c r="F21" s="28" t="s">
        <v>70</v>
      </c>
    </row>
    <row r="22" customFormat="false" ht="15" hidden="false" customHeight="false" outlineLevel="0" collapsed="false">
      <c r="A22" s="12" t="n">
        <v>21</v>
      </c>
      <c r="B22" s="13"/>
      <c r="C22" s="13"/>
      <c r="D22" s="13"/>
      <c r="E22" s="14" t="str">
        <f aca="false">IF(OR(B22="",C22=""),"",IF(B22=C22,"Yes","No"))</f>
        <v/>
      </c>
      <c r="F22" s="13"/>
    </row>
    <row r="23" customFormat="false" ht="15" hidden="false" customHeight="false" outlineLevel="0" collapsed="false">
      <c r="A23" s="12" t="n">
        <v>22</v>
      </c>
      <c r="B23" s="13"/>
      <c r="C23" s="13"/>
      <c r="D23" s="13"/>
      <c r="E23" s="14" t="str">
        <f aca="false">IF(OR(B23="",C23=""),"",IF(B23=C23,"Yes","No"))</f>
        <v/>
      </c>
      <c r="F23" s="13"/>
    </row>
    <row r="24" customFormat="false" ht="15" hidden="false" customHeight="false" outlineLevel="0" collapsed="false">
      <c r="A24" s="12" t="n">
        <v>23</v>
      </c>
      <c r="B24" s="13"/>
      <c r="C24" s="13"/>
      <c r="D24" s="13"/>
      <c r="E24" s="14" t="str">
        <f aca="false">IF(OR(B24="",C24=""),"",IF(B24=C24,"Yes","No"))</f>
        <v/>
      </c>
      <c r="F24" s="13"/>
    </row>
    <row r="25" customFormat="false" ht="15" hidden="false" customHeight="false" outlineLevel="0" collapsed="false">
      <c r="A25" s="12" t="n">
        <v>24</v>
      </c>
      <c r="B25" s="13"/>
      <c r="C25" s="13"/>
      <c r="D25" s="13"/>
      <c r="E25" s="14" t="str">
        <f aca="false">IF(OR(B25="",C25=""),"",IF(B25=C25,"Yes","No"))</f>
        <v/>
      </c>
      <c r="F25" s="13"/>
    </row>
    <row r="26" customFormat="false" ht="15" hidden="false" customHeight="false" outlineLevel="0" collapsed="false">
      <c r="A26" s="12" t="n">
        <v>25</v>
      </c>
      <c r="B26" s="13"/>
      <c r="C26" s="13"/>
      <c r="D26" s="13"/>
      <c r="E26" s="14" t="str">
        <f aca="false">IF(OR(B26="",C26=""),"",IF(B26=C26,"Yes","No"))</f>
        <v/>
      </c>
      <c r="F26" s="13"/>
    </row>
    <row r="27" customFormat="false" ht="15" hidden="false" customHeight="false" outlineLevel="0" collapsed="false">
      <c r="A27" s="12" t="n">
        <v>26</v>
      </c>
      <c r="B27" s="13"/>
      <c r="C27" s="13"/>
      <c r="D27" s="13"/>
      <c r="E27" s="14" t="str">
        <f aca="false">IF(OR(B27="",C27=""),"",IF(B27=C27,"Yes","No"))</f>
        <v/>
      </c>
      <c r="F27" s="13"/>
    </row>
    <row r="28" customFormat="false" ht="15" hidden="false" customHeight="false" outlineLevel="0" collapsed="false">
      <c r="A28" s="12" t="n">
        <v>27</v>
      </c>
      <c r="B28" s="13"/>
      <c r="C28" s="13"/>
      <c r="D28" s="13"/>
      <c r="E28" s="14" t="str">
        <f aca="false">IF(OR(B28="",C28=""),"",IF(B28=C28,"Yes","No"))</f>
        <v/>
      </c>
      <c r="F28" s="13"/>
    </row>
    <row r="29" customFormat="false" ht="15" hidden="false" customHeight="false" outlineLevel="0" collapsed="false">
      <c r="A29" s="12" t="n">
        <v>28</v>
      </c>
      <c r="B29" s="13"/>
      <c r="C29" s="13"/>
      <c r="D29" s="13"/>
      <c r="E29" s="14" t="str">
        <f aca="false">IF(OR(B29="",C29=""),"",IF(B29=C29,"Yes","No"))</f>
        <v/>
      </c>
      <c r="F29" s="13"/>
    </row>
    <row r="30" customFormat="false" ht="15" hidden="false" customHeight="false" outlineLevel="0" collapsed="false">
      <c r="A30" s="12" t="n">
        <v>29</v>
      </c>
      <c r="B30" s="13"/>
      <c r="C30" s="13"/>
      <c r="D30" s="13"/>
      <c r="E30" s="14" t="str">
        <f aca="false">IF(OR(B30="",C30=""),"",IF(B30=C30,"Yes","No"))</f>
        <v/>
      </c>
      <c r="F30" s="13"/>
    </row>
    <row r="31" customFormat="false" ht="15" hidden="false" customHeight="false" outlineLevel="0" collapsed="false">
      <c r="A31" s="12" t="n">
        <v>30</v>
      </c>
      <c r="B31" s="13"/>
      <c r="C31" s="13"/>
      <c r="D31" s="13"/>
      <c r="E31" s="14" t="str">
        <f aca="false">IF(OR(B31="",C31=""),"",IF(B31=C31,"Yes","No"))</f>
        <v/>
      </c>
      <c r="F31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6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5" t="s">
        <v>71</v>
      </c>
    </row>
    <row r="3" customFormat="false" ht="15" hidden="false" customHeight="false" outlineLevel="0" collapsed="false">
      <c r="A3" s="8" t="s">
        <v>29</v>
      </c>
      <c r="B3" s="8" t="s">
        <v>30</v>
      </c>
      <c r="C3" s="8"/>
      <c r="D3" s="8" t="s">
        <v>31</v>
      </c>
    </row>
    <row r="4" customFormat="false" ht="15" hidden="false" customHeight="false" outlineLevel="0" collapsed="false">
      <c r="A4" s="16" t="s">
        <v>32</v>
      </c>
      <c r="B4" s="17" t="n">
        <f aca="false">COUNTA('Example Tests'!B2:B31)</f>
        <v>20</v>
      </c>
      <c r="D4" s="18" t="s">
        <v>33</v>
      </c>
    </row>
    <row r="5" customFormat="false" ht="15" hidden="false" customHeight="false" outlineLevel="0" collapsed="false">
      <c r="A5" s="16" t="s">
        <v>34</v>
      </c>
      <c r="B5" s="17" t="n">
        <f aca="false">COUNTIF('Example Tests'!E2:E31,"Yes")</f>
        <v>15</v>
      </c>
      <c r="D5" s="18"/>
    </row>
    <row r="6" customFormat="false" ht="15" hidden="false" customHeight="false" outlineLevel="0" collapsed="false">
      <c r="A6" s="16" t="s">
        <v>35</v>
      </c>
      <c r="B6" s="19" t="n">
        <f aca="false">IFERROR(B5/B4,"")</f>
        <v>0.75</v>
      </c>
      <c r="D6" s="18" t="s">
        <v>36</v>
      </c>
    </row>
    <row r="7" customFormat="false" ht="15" hidden="false" customHeight="false" outlineLevel="0" collapsed="false">
      <c r="A7" s="16" t="s">
        <v>37</v>
      </c>
      <c r="B7" s="20" t="n">
        <f aca="false">IFERROR(AVERAGEIFS('Example Tests'!D2:D31,'Example Tests'!E2:E31,"Yes"),"")</f>
        <v>94</v>
      </c>
      <c r="D7" s="18" t="s">
        <v>38</v>
      </c>
    </row>
    <row r="8" customFormat="false" ht="15" hidden="false" customHeight="false" outlineLevel="0" collapsed="false">
      <c r="A8" s="16" t="s">
        <v>39</v>
      </c>
      <c r="B8" s="20" t="n">
        <f aca="false">IFERROR(AVERAGEIFS('Example Tests'!D2:D31,'Example Tests'!E2:E31,"No"),"")</f>
        <v>62.4</v>
      </c>
      <c r="D8" s="18" t="s">
        <v>40</v>
      </c>
    </row>
    <row r="11" customFormat="false" ht="15" hidden="false" customHeight="false" outlineLevel="0" collapsed="false">
      <c r="A11" s="21" t="s">
        <v>41</v>
      </c>
    </row>
    <row r="12" customFormat="false" ht="15" hidden="false" customHeight="false" outlineLevel="0" collapsed="false">
      <c r="A12" s="8" t="s">
        <v>42</v>
      </c>
      <c r="B12" s="8" t="s">
        <v>43</v>
      </c>
      <c r="C12" s="8" t="s">
        <v>34</v>
      </c>
      <c r="D12" s="8" t="s">
        <v>44</v>
      </c>
    </row>
    <row r="13" customFormat="false" ht="15" hidden="false" customHeight="false" outlineLevel="0" collapsed="false">
      <c r="A13" s="22" t="str">
        <f aca="false">IF('Example Training'!A2="","",'Example Training'!A2)</f>
        <v>Mug</v>
      </c>
      <c r="B13" s="22" t="n">
        <f aca="false">IF(A13="","",COUNTIF('Example Tests'!B2:B31,A13))</f>
        <v>8</v>
      </c>
      <c r="C13" s="22" t="n">
        <f aca="false">IF(A13="","",COUNTIFS('Example Tests'!B2:B31,A13,'Example Tests'!E2:E31,"Yes"))</f>
        <v>6</v>
      </c>
      <c r="D13" s="23" t="n">
        <f aca="false">IF(OR(A13="",B13=0),"",C13/B13)</f>
        <v>0.75</v>
      </c>
    </row>
    <row r="14" customFormat="false" ht="15" hidden="false" customHeight="false" outlineLevel="0" collapsed="false">
      <c r="A14" s="22" t="str">
        <f aca="false">IF('Example Training'!A3="","",'Example Training'!A3)</f>
        <v>Notebook</v>
      </c>
      <c r="B14" s="22" t="n">
        <f aca="false">IF(A14="","",COUNTIF('Example Tests'!B2:B31,A14))</f>
        <v>7</v>
      </c>
      <c r="C14" s="22" t="n">
        <f aca="false">IF(A14="","",COUNTIFS('Example Tests'!B2:B31,A14,'Example Tests'!E2:E31,"Yes"))</f>
        <v>5</v>
      </c>
      <c r="D14" s="23" t="n">
        <f aca="false">IF(OR(A14="",B14=0),"",C14/B14)</f>
        <v>0.714285714285714</v>
      </c>
    </row>
    <row r="15" customFormat="false" ht="15" hidden="false" customHeight="false" outlineLevel="0" collapsed="false">
      <c r="A15" s="22" t="str">
        <f aca="false">IF('Example Training'!A4="","",'Example Training'!A4)</f>
        <v>Nothing</v>
      </c>
      <c r="B15" s="22" t="n">
        <f aca="false">IF(A15="","",COUNTIF('Example Tests'!B2:B31,A15))</f>
        <v>5</v>
      </c>
      <c r="C15" s="22" t="n">
        <f aca="false">IF(A15="","",COUNTIFS('Example Tests'!B2:B31,A15,'Example Tests'!E2:E31,"Yes"))</f>
        <v>4</v>
      </c>
      <c r="D15" s="23" t="n">
        <f aca="false">IF(OR(A15="",B15=0),"",C15/B15)</f>
        <v>0.8</v>
      </c>
    </row>
    <row r="17" customFormat="false" ht="15" hidden="false" customHeight="false" outlineLevel="0" collapsed="false">
      <c r="A17" s="2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2026-10-08T03:46:29Z</dcterms:created>
  <dc:creator>openpyxl</dc:creator>
  <dc:description/>
  <dc:language>en-US</dc:language>
  <cp:lastModifiedBy/>
  <dcterms:modified xsi:type="dcterms:W3CDTF">2026-10-08T03:46:31Z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