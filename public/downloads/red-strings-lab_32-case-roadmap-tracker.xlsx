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<sst xmlns="http://schemas.openxmlformats.org/spreadsheetml/2006/main" count="585" uniqueCount="147">
  <si>
    <t xml:space="preserve">Case</t>
  </si>
  <si>
    <t xml:space="preserve">Rank</t>
  </si>
  <si>
    <t xml:space="preserve">Title</t>
  </si>
  <si>
    <t xml:space="preserve">Publish date</t>
  </si>
  <si>
    <t xml:space="preserve">Day</t>
  </si>
  <si>
    <t xml:space="preserve">Tool(s)</t>
  </si>
  <si>
    <t xml:space="preserve">Finished project</t>
  </si>
  <si>
    <t xml:space="preserve">Terms note</t>
  </si>
  <si>
    <t xml:space="preserve">Script</t>
  </si>
  <si>
    <t xml:space="preserve">Tool terms checked</t>
  </si>
  <si>
    <t xml:space="preserve">Voice-over</t>
  </si>
  <si>
    <t xml:space="preserve">Screen recording</t>
  </si>
  <si>
    <t xml:space="preserve">Edit</t>
  </si>
  <si>
    <t xml:space="preserve">Thumbnail</t>
  </si>
  <si>
    <t xml:space="preserve">Subtitles EN</t>
  </si>
  <si>
    <t xml:space="preserve">Subtitles AR</t>
  </si>
  <si>
    <t xml:space="preserve">Subtitles UR</t>
  </si>
  <si>
    <t xml:space="preserve">Starter files</t>
  </si>
  <si>
    <t xml:space="preserve">Web page ready</t>
  </si>
  <si>
    <t xml:space="preserve">Uploaded &amp; scheduled</t>
  </si>
  <si>
    <t xml:space="preserve">Notes</t>
  </si>
  <si>
    <t xml:space="preserve">Trailer</t>
  </si>
  <si>
    <t xml:space="preserve">—</t>
  </si>
  <si>
    <t xml:space="preserve">Trailer (60 sec)</t>
  </si>
  <si>
    <t xml:space="preserve">Channel trailer</t>
  </si>
  <si>
    <t xml:space="preserve">Done</t>
  </si>
  <si>
    <t xml:space="preserve">Not started</t>
  </si>
  <si>
    <t xml:space="preserve">Rookie</t>
  </si>
  <si>
    <t xml:space="preserve">The Screen-Time Case</t>
  </si>
  <si>
    <t xml:space="preserve">Google Forms + Sheets</t>
  </si>
  <si>
    <t xml:space="preserve">Anonymous survey, average vs median</t>
  </si>
  <si>
    <t xml:space="preserve">Charts That Lie</t>
  </si>
  <si>
    <t xml:space="preserve">Google Sheets</t>
  </si>
  <si>
    <t xml:space="preserve">Same data, honest vs cut-axis vs cherry-picked charts</t>
  </si>
  <si>
    <t xml:space="preserve">Does Money Buy Happiness?</t>
  </si>
  <si>
    <t xml:space="preserve">Gapminder Tools (free, browser)</t>
  </si>
  <si>
    <t xml:space="preserve">Two-country claim and what it can't prove</t>
  </si>
  <si>
    <t xml:space="preserve">Checked 2026-10-02: CC BY credit needed; confirm commercial use with Gapminder; keep name out of title</t>
  </si>
  <si>
    <t xml:space="preserve">In progress</t>
  </si>
  <si>
    <t xml:space="preserve">Correlation Isn't Guilty</t>
  </si>
  <si>
    <t xml:space="preserve">Third variable and chance links</t>
  </si>
  <si>
    <t xml:space="preserve">The Biased Sample</t>
  </si>
  <si>
    <t xml:space="preserve">Why surveying only friends misleads</t>
  </si>
  <si>
    <t xml:space="preserve">The Missing Data Mystery</t>
  </si>
  <si>
    <t xml:space="preserve">Who didn't answer, and why it matters</t>
  </si>
  <si>
    <t xml:space="preserve">Fix the Messy Dataset</t>
  </si>
  <si>
    <t xml:space="preserve">Clean typos, duplicates, wrong units</t>
  </si>
  <si>
    <t xml:space="preserve">Finale: Build Your Own Case</t>
  </si>
  <si>
    <t xml:space="preserve">Forms + Sheets</t>
  </si>
  <si>
    <t xml:space="preserve">One-page case file from your own question</t>
  </si>
  <si>
    <t xml:space="preserve">Analyst</t>
  </si>
  <si>
    <t xml:space="preserve">Teach a Machine</t>
  </si>
  <si>
    <t xml:space="preserve">Teachable Machine</t>
  </si>
  <si>
    <t xml:space="preserve">Image or pose classifier (no faces)</t>
  </si>
  <si>
    <t xml:space="preserve">Verified (Google blog): examples stay on device unless saved to Drive. NOT verified: site terms, age rules, commercial use. Read the footer Terms and Privacy on filming day.</t>
  </si>
  <si>
    <t xml:space="preserve">Break the AI</t>
  </si>
  <si>
    <t xml:space="preserve">Log of ways the model gets fooled</t>
  </si>
  <si>
    <t xml:space="preserve">Same tool as Case 9: read footer Terms/Privacy on filming day. Adversarial-example claim sourced to Goodfellow, Shlens, Szegedy 2014 (arXiv 1412.6572).</t>
  </si>
  <si>
    <t xml:space="preserve">Training vs Testing</t>
  </si>
  <si>
    <t xml:space="preserve">Teachable Machine / ML tool</t>
  </si>
  <si>
    <t xml:space="preserve">Why you test on examples the model hasn't seen</t>
  </si>
  <si>
    <t xml:space="preserve">The Biased Hiring Bot</t>
  </si>
  <si>
    <t xml:space="preserve">No-code ML tool (to choose)</t>
  </si>
  <si>
    <t xml:space="preserve">Model that learns an unfair pattern (made-up data)</t>
  </si>
  <si>
    <t xml:space="preserve">Real or Fake?</t>
  </si>
  <si>
    <t xml:space="preserve">Screen demos only</t>
  </si>
  <si>
    <t xml:space="preserve">Spotting checklist and quiz game</t>
  </si>
  <si>
    <t xml:space="preserve">Answer altered-content question in Studio</t>
  </si>
  <si>
    <t xml:space="preserve">Interrogate the Chatbot</t>
  </si>
  <si>
    <t xml:space="preserve">Chatbot demo (adult account)</t>
  </si>
  <si>
    <t xml:space="preserve">Fact-check an AI answer</t>
  </si>
  <si>
    <t xml:space="preserve">Check age rules of the chatbot used</t>
  </si>
  <si>
    <t xml:space="preserve">Predict It (No Code)</t>
  </si>
  <si>
    <t xml:space="preserve">A first prediction on made-up data</t>
  </si>
  <si>
    <t xml:space="preserve">Finale: Build and Break Your Model</t>
  </si>
  <si>
    <t xml:space="preserve">Tools so far</t>
  </si>
  <si>
    <t xml:space="preserve">Train a model, then find its weak spot</t>
  </si>
  <si>
    <t xml:space="preserve">Inspector</t>
  </si>
  <si>
    <t xml:space="preserve">Hello, Python</t>
  </si>
  <si>
    <t xml:space="preserve">Browser Python notebook (to choose)</t>
  </si>
  <si>
    <t xml:space="preserve">First lines of Python</t>
  </si>
  <si>
    <t xml:space="preserve">Check sign-in and age rules</t>
  </si>
  <si>
    <t xml:space="preserve">Load the Evidence</t>
  </si>
  <si>
    <t xml:space="preserve">Python + pandas</t>
  </si>
  <si>
    <t xml:space="preserve">Load the Case 1 data from CSV</t>
  </si>
  <si>
    <t xml:space="preserve">Clean It With Code</t>
  </si>
  <si>
    <t xml:space="preserve">Redo Case 7 in code</t>
  </si>
  <si>
    <t xml:space="preserve">Chart It With Code</t>
  </si>
  <si>
    <t xml:space="preserve">Python + matplotlib</t>
  </si>
  <si>
    <t xml:space="preserve">Redo honest charts from Case 2</t>
  </si>
  <si>
    <t xml:space="preserve">Correlation in Code</t>
  </si>
  <si>
    <t xml:space="preserve">Redo Case 4 incl. the chance table</t>
  </si>
  <si>
    <t xml:space="preserve">Your First Prediction</t>
  </si>
  <si>
    <t xml:space="preserve">Python + scikit-learn</t>
  </si>
  <si>
    <t xml:space="preserve">Simple regression</t>
  </si>
  <si>
    <t xml:space="preserve">Test Your Model</t>
  </si>
  <si>
    <t xml:space="preserve">Train/test split, overfitting</t>
  </si>
  <si>
    <t xml:space="preserve">Finale: A Reproducible Case File</t>
  </si>
  <si>
    <t xml:space="preserve">Notebook</t>
  </si>
  <si>
    <t xml:space="preserve">One notebook anyone can re-run</t>
  </si>
  <si>
    <t xml:space="preserve">Chief</t>
  </si>
  <si>
    <t xml:space="preserve">Choose Your Case</t>
  </si>
  <si>
    <t xml:space="preserve">Planning sheet</t>
  </si>
  <si>
    <t xml:space="preserve">Question, data plan, limits</t>
  </si>
  <si>
    <t xml:space="preserve">Find Real Data</t>
  </si>
  <si>
    <t xml:space="preserve">Open data portals (to choose)</t>
  </si>
  <si>
    <t xml:space="preserve">Pick a dataset and check its terms</t>
  </si>
  <si>
    <t xml:space="preserve">Check each source's license</t>
  </si>
  <si>
    <t xml:space="preserve">Collect Data Ethically</t>
  </si>
  <si>
    <t xml:space="preserve">Forms</t>
  </si>
  <si>
    <t xml:space="preserve">Consent, anonymity, privacy plan</t>
  </si>
  <si>
    <t xml:space="preserve">Analyze It</t>
  </si>
  <si>
    <t xml:space="preserve">Sheets or Python</t>
  </si>
  <si>
    <t xml:space="preserve">Full analysis of your question</t>
  </si>
  <si>
    <t xml:space="preserve">Tell the Story</t>
  </si>
  <si>
    <t xml:space="preserve">Chart/dashboard tool (to choose)</t>
  </si>
  <si>
    <t xml:space="preserve">Honest visual summary</t>
  </si>
  <si>
    <t xml:space="preserve">Check the tool's terms</t>
  </si>
  <si>
    <t xml:space="preserve">Check Your Own Work</t>
  </si>
  <si>
    <t xml:space="preserve">Your notebook or sheet</t>
  </si>
  <si>
    <t xml:space="preserve">Three questions + limitations</t>
  </si>
  <si>
    <t xml:space="preserve">Present Your Case</t>
  </si>
  <si>
    <t xml:space="preserve">A 3-minute case presentation</t>
  </si>
  <si>
    <t xml:space="preserve">Finale: Case Review</t>
  </si>
  <si>
    <t xml:space="preserve">Viewer work (with consent)</t>
  </si>
  <si>
    <t xml:space="preserve">Featured projects, no names/faces</t>
  </si>
  <si>
    <t xml:space="preserve">RED STRINGS LAB · 32-case roadmap</t>
  </si>
  <si>
    <t xml:space="preserve">Blue = typed-in inputs. Change dates on the Tracker tab if holidays or illness move things.</t>
  </si>
  <si>
    <t xml:space="preserve">Cases</t>
  </si>
  <si>
    <t xml:space="preserve">Scripts done</t>
  </si>
  <si>
    <t xml:space="preserve">First publish</t>
  </si>
  <si>
    <t xml:space="preserve">Last publish</t>
  </si>
  <si>
    <t xml:space="preserve">Total</t>
  </si>
  <si>
    <t xml:space="preserve">PRODUCTION PLAN (first 3 weeks)</t>
  </si>
  <si>
    <t xml:space="preserve">Week of 5 Oct</t>
  </si>
  <si>
    <t xml:space="preserve">Trailer, Case 1, Case 2 (scripts already written)</t>
  </si>
  <si>
    <t xml:space="preserve">Week of 12 Oct</t>
  </si>
  <si>
    <t xml:space="preserve">Cases 3, 4, 5</t>
  </si>
  <si>
    <t xml:space="preserve">Week of 19 Oct</t>
  </si>
  <si>
    <t xml:space="preserve">Cases 6, 7, 8, subtitles, upload and schedule everything by Fri 23 Oct</t>
  </si>
  <si>
    <t xml:space="preserve">Rule</t>
  </si>
  <si>
    <t xml:space="preserve">Always stay 2 to 4 weeks ahead. Keep 2 spare cases unscheduled for emergencies.</t>
  </si>
  <si>
    <t xml:space="preserve">SPARE CASES (not scheduled)</t>
  </si>
  <si>
    <t xml:space="preserve">Spare A</t>
  </si>
  <si>
    <t xml:space="preserve">Case 00: What is a dataset? (rows, columns, a 2-minute orientation)</t>
  </si>
  <si>
    <t xml:space="preserve">Spare B</t>
  </si>
  <si>
    <t xml:space="preserve">To decide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</si>
</sst>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d\ mmm\ yyyy"/>
    <numFmt numFmtId="166" formatCode="General"/>
    <numFmt numFmtId="167" formatCode="d\ mmm\ 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DECEC"/>
        <bgColor rgb="FFFFF4D6"/>
      </patternFill>
    </fill>
    <fill>
      <patternFill patternType="solid">
        <fgColor rgb="FFFFF4D6"/>
        <bgColor rgb="FFFDECEC"/>
      </patternFill>
    </fill>
    <fill>
      <patternFill patternType="solid">
        <fgColor rgb="FFE6F0FF"/>
        <bgColor rgb="FFE9F5E9"/>
      </patternFill>
    </fill>
    <fill>
      <patternFill patternType="solid">
        <fgColor rgb="FFE9F5E9"/>
        <bgColor rgb="FFE6F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D6"/>
      <rgbColor rgb="FFE6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5E9"/>
      <rgbColor rgb="FFC6EFCE"/>
      <rgbColor rgb="FFFFEB9C"/>
      <rgbColor rgb="FF99CCFF"/>
      <rgbColor rgb="FFFF99CC"/>
      <rgbColor rgb="FFCC99FF"/>
      <rgbColor rgb="FFFDEC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6"/>
    <col collapsed="false" customWidth="true" hidden="false" outlineLevel="0" max="6" min="6" style="1" width="28"/>
    <col collapsed="false" customWidth="true" hidden="false" outlineLevel="0" max="7" min="7" style="1" width="36"/>
    <col collapsed="false" customWidth="true" hidden="false" outlineLevel="0" max="8" min="8" style="1" width="40"/>
    <col collapsed="false" customWidth="true" hidden="false" outlineLevel="0" max="20" min="9" style="1" width="12"/>
    <col collapsed="false" customWidth="true" hidden="false" outlineLevel="0" max="21" min="21" style="1" width="30"/>
  </cols>
  <sheetData>
    <row r="1" customFormat="false" ht="4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" hidden="false" customHeight="true" outlineLevel="0" collapsed="false">
      <c r="A2" s="3" t="s">
        <v>21</v>
      </c>
      <c r="B2" s="3" t="s">
        <v>22</v>
      </c>
      <c r="C2" s="4" t="s">
        <v>23</v>
      </c>
      <c r="D2" s="5" t="n">
        <v>46315</v>
      </c>
      <c r="E2" s="6" t="str">
        <f aca="false">TEXT(D2,"ddd")</f>
        <v>Tue</v>
      </c>
      <c r="F2" s="4" t="s">
        <v>11</v>
      </c>
      <c r="G2" s="4" t="s">
        <v>24</v>
      </c>
      <c r="H2" s="4"/>
      <c r="I2" s="7" t="s">
        <v>25</v>
      </c>
      <c r="J2" s="7" t="s">
        <v>26</v>
      </c>
      <c r="K2" s="7" t="s">
        <v>26</v>
      </c>
      <c r="L2" s="7" t="s">
        <v>26</v>
      </c>
      <c r="M2" s="7" t="s">
        <v>26</v>
      </c>
      <c r="N2" s="7" t="s">
        <v>26</v>
      </c>
      <c r="O2" s="7" t="s">
        <v>26</v>
      </c>
      <c r="P2" s="7" t="s">
        <v>26</v>
      </c>
      <c r="Q2" s="7" t="s">
        <v>26</v>
      </c>
      <c r="R2" s="7" t="s">
        <v>26</v>
      </c>
      <c r="S2" s="7" t="s">
        <v>26</v>
      </c>
      <c r="T2" s="7" t="s">
        <v>26</v>
      </c>
      <c r="U2" s="8"/>
    </row>
    <row r="3" customFormat="false" ht="26.25" hidden="false" customHeight="true" outlineLevel="0" collapsed="false">
      <c r="A3" s="9" t="n">
        <v>1</v>
      </c>
      <c r="B3" s="9" t="s">
        <v>27</v>
      </c>
      <c r="C3" s="10" t="s">
        <v>28</v>
      </c>
      <c r="D3" s="11" t="n">
        <v>46322</v>
      </c>
      <c r="E3" s="12" t="str">
        <f aca="false">TEXT(D3,"ddd")</f>
        <v>Tue</v>
      </c>
      <c r="F3" s="10" t="s">
        <v>29</v>
      </c>
      <c r="G3" s="10" t="s">
        <v>30</v>
      </c>
      <c r="H3" s="10"/>
      <c r="I3" s="7" t="s">
        <v>25</v>
      </c>
      <c r="J3" s="7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25</v>
      </c>
      <c r="S3" s="7" t="s">
        <v>26</v>
      </c>
      <c r="T3" s="7" t="s">
        <v>26</v>
      </c>
      <c r="U3" s="8"/>
    </row>
    <row r="4" customFormat="false" ht="26.25" hidden="false" customHeight="true" outlineLevel="0" collapsed="false">
      <c r="A4" s="9" t="n">
        <v>2</v>
      </c>
      <c r="B4" s="9" t="s">
        <v>27</v>
      </c>
      <c r="C4" s="10" t="s">
        <v>31</v>
      </c>
      <c r="D4" s="11" t="n">
        <v>46322</v>
      </c>
      <c r="E4" s="12" t="str">
        <f aca="false">TEXT(D4,"ddd")</f>
        <v>Tue</v>
      </c>
      <c r="F4" s="10" t="s">
        <v>32</v>
      </c>
      <c r="G4" s="10" t="s">
        <v>33</v>
      </c>
      <c r="H4" s="10"/>
      <c r="I4" s="7" t="s">
        <v>25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25</v>
      </c>
      <c r="S4" s="7" t="s">
        <v>26</v>
      </c>
      <c r="T4" s="7" t="s">
        <v>26</v>
      </c>
      <c r="U4" s="8"/>
    </row>
    <row r="5" customFormat="false" ht="39" hidden="false" customHeight="true" outlineLevel="0" collapsed="false">
      <c r="A5" s="9" t="n">
        <v>3</v>
      </c>
      <c r="B5" s="9" t="s">
        <v>27</v>
      </c>
      <c r="C5" s="10" t="s">
        <v>34</v>
      </c>
      <c r="D5" s="11" t="n">
        <v>46325</v>
      </c>
      <c r="E5" s="12" t="str">
        <f aca="false">TEXT(D5,"ddd")</f>
        <v>Fri</v>
      </c>
      <c r="F5" s="10" t="s">
        <v>35</v>
      </c>
      <c r="G5" s="10" t="s">
        <v>36</v>
      </c>
      <c r="H5" s="10" t="s">
        <v>37</v>
      </c>
      <c r="I5" s="7" t="s">
        <v>25</v>
      </c>
      <c r="J5" s="7" t="s">
        <v>38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  <c r="T5" s="7" t="s">
        <v>26</v>
      </c>
      <c r="U5" s="8"/>
    </row>
    <row r="6" customFormat="false" ht="15" hidden="false" customHeight="true" outlineLevel="0" collapsed="false">
      <c r="A6" s="9" t="n">
        <v>4</v>
      </c>
      <c r="B6" s="9" t="s">
        <v>27</v>
      </c>
      <c r="C6" s="10" t="s">
        <v>39</v>
      </c>
      <c r="D6" s="11" t="n">
        <v>46329</v>
      </c>
      <c r="E6" s="12" t="str">
        <f aca="false">TEXT(D6,"ddd")</f>
        <v>Tue</v>
      </c>
      <c r="F6" s="10" t="s">
        <v>32</v>
      </c>
      <c r="G6" s="10" t="s">
        <v>40</v>
      </c>
      <c r="H6" s="10"/>
      <c r="I6" s="7" t="s">
        <v>25</v>
      </c>
      <c r="J6" s="7" t="s">
        <v>26</v>
      </c>
      <c r="K6" s="7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25</v>
      </c>
      <c r="S6" s="7" t="s">
        <v>26</v>
      </c>
      <c r="T6" s="7" t="s">
        <v>26</v>
      </c>
      <c r="U6" s="8"/>
    </row>
    <row r="7" customFormat="false" ht="15" hidden="false" customHeight="true" outlineLevel="0" collapsed="false">
      <c r="A7" s="9" t="n">
        <v>5</v>
      </c>
      <c r="B7" s="9" t="s">
        <v>27</v>
      </c>
      <c r="C7" s="10" t="s">
        <v>41</v>
      </c>
      <c r="D7" s="11" t="n">
        <v>46332</v>
      </c>
      <c r="E7" s="12" t="str">
        <f aca="false">TEXT(D7,"ddd")</f>
        <v>Fri</v>
      </c>
      <c r="F7" s="10" t="s">
        <v>32</v>
      </c>
      <c r="G7" s="10" t="s">
        <v>42</v>
      </c>
      <c r="H7" s="10"/>
      <c r="I7" s="7" t="s">
        <v>26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  <c r="T7" s="7" t="s">
        <v>26</v>
      </c>
      <c r="U7" s="8"/>
    </row>
    <row r="8" customFormat="false" ht="26.25" hidden="false" customHeight="true" outlineLevel="0" collapsed="false">
      <c r="A8" s="9" t="n">
        <v>6</v>
      </c>
      <c r="B8" s="9" t="s">
        <v>27</v>
      </c>
      <c r="C8" s="10" t="s">
        <v>43</v>
      </c>
      <c r="D8" s="11" t="n">
        <v>46336</v>
      </c>
      <c r="E8" s="12" t="str">
        <f aca="false">TEXT(D8,"ddd")</f>
        <v>Tue</v>
      </c>
      <c r="F8" s="10" t="s">
        <v>32</v>
      </c>
      <c r="G8" s="10" t="s">
        <v>44</v>
      </c>
      <c r="H8" s="10"/>
      <c r="I8" s="7" t="s">
        <v>26</v>
      </c>
      <c r="J8" s="7" t="s">
        <v>26</v>
      </c>
      <c r="K8" s="7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  <c r="T8" s="7" t="s">
        <v>26</v>
      </c>
      <c r="U8" s="8"/>
    </row>
    <row r="9" customFormat="false" ht="15" hidden="false" customHeight="true" outlineLevel="0" collapsed="false">
      <c r="A9" s="9" t="n">
        <v>7</v>
      </c>
      <c r="B9" s="9" t="s">
        <v>27</v>
      </c>
      <c r="C9" s="10" t="s">
        <v>45</v>
      </c>
      <c r="D9" s="11" t="n">
        <v>46339</v>
      </c>
      <c r="E9" s="12" t="str">
        <f aca="false">TEXT(D9,"ddd")</f>
        <v>Fri</v>
      </c>
      <c r="F9" s="10" t="s">
        <v>32</v>
      </c>
      <c r="G9" s="10" t="s">
        <v>46</v>
      </c>
      <c r="H9" s="10"/>
      <c r="I9" s="7" t="s">
        <v>26</v>
      </c>
      <c r="J9" s="7" t="s">
        <v>26</v>
      </c>
      <c r="K9" s="7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  <c r="T9" s="7" t="s">
        <v>26</v>
      </c>
      <c r="U9" s="8"/>
    </row>
    <row r="10" customFormat="false" ht="26.25" hidden="false" customHeight="true" outlineLevel="0" collapsed="false">
      <c r="A10" s="9" t="n">
        <v>8</v>
      </c>
      <c r="B10" s="9" t="s">
        <v>27</v>
      </c>
      <c r="C10" s="10" t="s">
        <v>47</v>
      </c>
      <c r="D10" s="11" t="n">
        <v>46343</v>
      </c>
      <c r="E10" s="12" t="str">
        <f aca="false">TEXT(D10,"ddd")</f>
        <v>Tue</v>
      </c>
      <c r="F10" s="10" t="s">
        <v>48</v>
      </c>
      <c r="G10" s="10" t="s">
        <v>49</v>
      </c>
      <c r="H10" s="10"/>
      <c r="I10" s="7" t="s">
        <v>26</v>
      </c>
      <c r="J10" s="7" t="s">
        <v>26</v>
      </c>
      <c r="K10" s="7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  <c r="T10" s="7" t="s">
        <v>26</v>
      </c>
      <c r="U10" s="8"/>
    </row>
    <row r="11" customFormat="false" ht="15" hidden="false" customHeight="true" outlineLevel="0" collapsed="false">
      <c r="A11" s="13" t="n">
        <v>9</v>
      </c>
      <c r="B11" s="13" t="s">
        <v>50</v>
      </c>
      <c r="C11" s="14" t="s">
        <v>51</v>
      </c>
      <c r="D11" s="15" t="n">
        <v>46346</v>
      </c>
      <c r="E11" s="16" t="str">
        <f aca="false">TEXT(D11,"ddd")</f>
        <v>Fri</v>
      </c>
      <c r="F11" s="14" t="s">
        <v>52</v>
      </c>
      <c r="G11" s="14" t="s">
        <v>53</v>
      </c>
      <c r="H11" s="14" t="s">
        <v>54</v>
      </c>
      <c r="I11" s="7" t="s">
        <v>38</v>
      </c>
      <c r="J11" s="7" t="s">
        <v>38</v>
      </c>
      <c r="K11" s="7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  <c r="T11" s="7" t="s">
        <v>26</v>
      </c>
      <c r="U11" s="8"/>
    </row>
    <row r="12" customFormat="false" ht="26.25" hidden="false" customHeight="true" outlineLevel="0" collapsed="false">
      <c r="A12" s="13" t="n">
        <v>10</v>
      </c>
      <c r="B12" s="13" t="s">
        <v>50</v>
      </c>
      <c r="C12" s="14" t="s">
        <v>55</v>
      </c>
      <c r="D12" s="15" t="n">
        <v>46350</v>
      </c>
      <c r="E12" s="16" t="str">
        <f aca="false">TEXT(D12,"ddd")</f>
        <v>Tue</v>
      </c>
      <c r="F12" s="14" t="s">
        <v>52</v>
      </c>
      <c r="G12" s="14" t="s">
        <v>56</v>
      </c>
      <c r="H12" s="14" t="s">
        <v>57</v>
      </c>
      <c r="I12" s="7" t="s">
        <v>38</v>
      </c>
      <c r="J12" s="7" t="s">
        <v>26</v>
      </c>
      <c r="K12" s="7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  <c r="T12" s="7" t="s">
        <v>26</v>
      </c>
      <c r="U12" s="8"/>
    </row>
    <row r="13" customFormat="false" ht="26.25" hidden="false" customHeight="true" outlineLevel="0" collapsed="false">
      <c r="A13" s="13" t="n">
        <v>11</v>
      </c>
      <c r="B13" s="13" t="s">
        <v>50</v>
      </c>
      <c r="C13" s="14" t="s">
        <v>58</v>
      </c>
      <c r="D13" s="15" t="n">
        <v>46353</v>
      </c>
      <c r="E13" s="16" t="str">
        <f aca="false">TEXT(D13,"ddd")</f>
        <v>Fri</v>
      </c>
      <c r="F13" s="14" t="s">
        <v>59</v>
      </c>
      <c r="G13" s="14" t="s">
        <v>60</v>
      </c>
      <c r="H13" s="14"/>
      <c r="I13" s="7" t="s">
        <v>26</v>
      </c>
      <c r="J13" s="7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  <c r="T13" s="7" t="s">
        <v>26</v>
      </c>
      <c r="U13" s="8"/>
    </row>
    <row r="14" customFormat="false" ht="26.25" hidden="false" customHeight="true" outlineLevel="0" collapsed="false">
      <c r="A14" s="13" t="n">
        <v>12</v>
      </c>
      <c r="B14" s="13" t="s">
        <v>50</v>
      </c>
      <c r="C14" s="14" t="s">
        <v>61</v>
      </c>
      <c r="D14" s="15" t="n">
        <v>46357</v>
      </c>
      <c r="E14" s="16" t="str">
        <f aca="false">TEXT(D14,"ddd")</f>
        <v>Tue</v>
      </c>
      <c r="F14" s="14" t="s">
        <v>62</v>
      </c>
      <c r="G14" s="14" t="s">
        <v>63</v>
      </c>
      <c r="H14" s="14"/>
      <c r="I14" s="7" t="s">
        <v>26</v>
      </c>
      <c r="J14" s="7" t="s">
        <v>26</v>
      </c>
      <c r="K14" s="7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  <c r="T14" s="7" t="s">
        <v>26</v>
      </c>
      <c r="U14" s="8"/>
    </row>
    <row r="15" customFormat="false" ht="15" hidden="false" customHeight="true" outlineLevel="0" collapsed="false">
      <c r="A15" s="13" t="n">
        <v>13</v>
      </c>
      <c r="B15" s="13" t="s">
        <v>50</v>
      </c>
      <c r="C15" s="14" t="s">
        <v>64</v>
      </c>
      <c r="D15" s="15" t="n">
        <v>46360</v>
      </c>
      <c r="E15" s="16" t="str">
        <f aca="false">TEXT(D15,"ddd")</f>
        <v>Fri</v>
      </c>
      <c r="F15" s="14" t="s">
        <v>65</v>
      </c>
      <c r="G15" s="14" t="s">
        <v>66</v>
      </c>
      <c r="H15" s="14" t="s">
        <v>67</v>
      </c>
      <c r="I15" s="7" t="s">
        <v>26</v>
      </c>
      <c r="J15" s="7" t="s">
        <v>26</v>
      </c>
      <c r="K15" s="7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  <c r="T15" s="7" t="s">
        <v>26</v>
      </c>
      <c r="U15" s="8"/>
    </row>
    <row r="16" customFormat="false" ht="15" hidden="false" customHeight="true" outlineLevel="0" collapsed="false">
      <c r="A16" s="13" t="n">
        <v>14</v>
      </c>
      <c r="B16" s="13" t="s">
        <v>50</v>
      </c>
      <c r="C16" s="14" t="s">
        <v>68</v>
      </c>
      <c r="D16" s="15" t="n">
        <v>46364</v>
      </c>
      <c r="E16" s="16" t="str">
        <f aca="false">TEXT(D16,"ddd")</f>
        <v>Tue</v>
      </c>
      <c r="F16" s="14" t="s">
        <v>69</v>
      </c>
      <c r="G16" s="14" t="s">
        <v>70</v>
      </c>
      <c r="H16" s="14" t="s">
        <v>71</v>
      </c>
      <c r="I16" s="7" t="s">
        <v>26</v>
      </c>
      <c r="J16" s="7" t="s">
        <v>26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  <c r="T16" s="7" t="s">
        <v>26</v>
      </c>
      <c r="U16" s="8"/>
    </row>
    <row r="17" customFormat="false" ht="15" hidden="false" customHeight="true" outlineLevel="0" collapsed="false">
      <c r="A17" s="13" t="n">
        <v>15</v>
      </c>
      <c r="B17" s="13" t="s">
        <v>50</v>
      </c>
      <c r="C17" s="14" t="s">
        <v>72</v>
      </c>
      <c r="D17" s="15" t="n">
        <v>46367</v>
      </c>
      <c r="E17" s="16" t="str">
        <f aca="false">TEXT(D17,"ddd")</f>
        <v>Fri</v>
      </c>
      <c r="F17" s="14" t="s">
        <v>62</v>
      </c>
      <c r="G17" s="14" t="s">
        <v>73</v>
      </c>
      <c r="H17" s="14"/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  <c r="T17" s="7" t="s">
        <v>26</v>
      </c>
      <c r="U17" s="8"/>
    </row>
    <row r="18" customFormat="false" ht="26.25" hidden="false" customHeight="true" outlineLevel="0" collapsed="false">
      <c r="A18" s="13" t="n">
        <v>16</v>
      </c>
      <c r="B18" s="13" t="s">
        <v>50</v>
      </c>
      <c r="C18" s="14" t="s">
        <v>74</v>
      </c>
      <c r="D18" s="15" t="n">
        <v>46371</v>
      </c>
      <c r="E18" s="16" t="str">
        <f aca="false">TEXT(D18,"ddd")</f>
        <v>Tue</v>
      </c>
      <c r="F18" s="14" t="s">
        <v>75</v>
      </c>
      <c r="G18" s="14" t="s">
        <v>76</v>
      </c>
      <c r="H18" s="14"/>
      <c r="I18" s="7" t="s">
        <v>26</v>
      </c>
      <c r="J18" s="7" t="s">
        <v>26</v>
      </c>
      <c r="K18" s="7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  <c r="T18" s="7" t="s">
        <v>26</v>
      </c>
      <c r="U18" s="8"/>
    </row>
    <row r="19" customFormat="false" ht="26.25" hidden="false" customHeight="true" outlineLevel="0" collapsed="false">
      <c r="A19" s="17" t="n">
        <v>17</v>
      </c>
      <c r="B19" s="17" t="s">
        <v>77</v>
      </c>
      <c r="C19" s="18" t="s">
        <v>78</v>
      </c>
      <c r="D19" s="19" t="n">
        <v>46374</v>
      </c>
      <c r="E19" s="20" t="str">
        <f aca="false">TEXT(D19,"ddd")</f>
        <v>Fri</v>
      </c>
      <c r="F19" s="18" t="s">
        <v>79</v>
      </c>
      <c r="G19" s="18" t="s">
        <v>80</v>
      </c>
      <c r="H19" s="18" t="s">
        <v>81</v>
      </c>
      <c r="I19" s="7" t="s">
        <v>26</v>
      </c>
      <c r="J19" s="7" t="s">
        <v>26</v>
      </c>
      <c r="K19" s="7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  <c r="T19" s="7" t="s">
        <v>26</v>
      </c>
      <c r="U19" s="8"/>
    </row>
    <row r="20" customFormat="false" ht="26.25" hidden="false" customHeight="true" outlineLevel="0" collapsed="false">
      <c r="A20" s="17" t="n">
        <v>18</v>
      </c>
      <c r="B20" s="17" t="s">
        <v>77</v>
      </c>
      <c r="C20" s="18" t="s">
        <v>82</v>
      </c>
      <c r="D20" s="19" t="n">
        <v>46378</v>
      </c>
      <c r="E20" s="20" t="str">
        <f aca="false">TEXT(D20,"ddd")</f>
        <v>Tue</v>
      </c>
      <c r="F20" s="18" t="s">
        <v>83</v>
      </c>
      <c r="G20" s="18" t="s">
        <v>84</v>
      </c>
      <c r="H20" s="18"/>
      <c r="I20" s="7" t="s">
        <v>26</v>
      </c>
      <c r="J20" s="7" t="s">
        <v>26</v>
      </c>
      <c r="K20" s="7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  <c r="T20" s="7" t="s">
        <v>26</v>
      </c>
      <c r="U20" s="8"/>
    </row>
    <row r="21" customFormat="false" ht="15" hidden="false" customHeight="true" outlineLevel="0" collapsed="false">
      <c r="A21" s="17" t="n">
        <v>19</v>
      </c>
      <c r="B21" s="17" t="s">
        <v>77</v>
      </c>
      <c r="C21" s="18" t="s">
        <v>85</v>
      </c>
      <c r="D21" s="19" t="n">
        <v>46381</v>
      </c>
      <c r="E21" s="20" t="str">
        <f aca="false">TEXT(D21,"ddd")</f>
        <v>Fri</v>
      </c>
      <c r="F21" s="18" t="s">
        <v>83</v>
      </c>
      <c r="G21" s="18" t="s">
        <v>86</v>
      </c>
      <c r="H21" s="18"/>
      <c r="I21" s="7" t="s">
        <v>26</v>
      </c>
      <c r="J21" s="7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  <c r="T21" s="7" t="s">
        <v>26</v>
      </c>
      <c r="U21" s="8"/>
    </row>
    <row r="22" customFormat="false" ht="26.25" hidden="false" customHeight="true" outlineLevel="0" collapsed="false">
      <c r="A22" s="17" t="n">
        <v>20</v>
      </c>
      <c r="B22" s="17" t="s">
        <v>77</v>
      </c>
      <c r="C22" s="18" t="s">
        <v>87</v>
      </c>
      <c r="D22" s="19" t="n">
        <v>46385</v>
      </c>
      <c r="E22" s="20" t="str">
        <f aca="false">TEXT(D22,"ddd")</f>
        <v>Tue</v>
      </c>
      <c r="F22" s="18" t="s">
        <v>88</v>
      </c>
      <c r="G22" s="18" t="s">
        <v>89</v>
      </c>
      <c r="H22" s="18"/>
      <c r="I22" s="7" t="s">
        <v>26</v>
      </c>
      <c r="J22" s="7" t="s">
        <v>26</v>
      </c>
      <c r="K22" s="7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  <c r="T22" s="7" t="s">
        <v>26</v>
      </c>
      <c r="U22" s="8"/>
    </row>
    <row r="23" customFormat="false" ht="15" hidden="false" customHeight="true" outlineLevel="0" collapsed="false">
      <c r="A23" s="17" t="n">
        <v>21</v>
      </c>
      <c r="B23" s="17" t="s">
        <v>77</v>
      </c>
      <c r="C23" s="18" t="s">
        <v>90</v>
      </c>
      <c r="D23" s="19" t="n">
        <v>46388</v>
      </c>
      <c r="E23" s="20" t="str">
        <f aca="false">TEXT(D23,"ddd")</f>
        <v>Fri</v>
      </c>
      <c r="F23" s="18" t="s">
        <v>83</v>
      </c>
      <c r="G23" s="18" t="s">
        <v>91</v>
      </c>
      <c r="H23" s="18"/>
      <c r="I23" s="7" t="s">
        <v>26</v>
      </c>
      <c r="J23" s="7" t="s">
        <v>26</v>
      </c>
      <c r="K23" s="7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  <c r="T23" s="7" t="s">
        <v>26</v>
      </c>
      <c r="U23" s="8"/>
    </row>
    <row r="24" customFormat="false" ht="15" hidden="false" customHeight="true" outlineLevel="0" collapsed="false">
      <c r="A24" s="17" t="n">
        <v>22</v>
      </c>
      <c r="B24" s="17" t="s">
        <v>77</v>
      </c>
      <c r="C24" s="18" t="s">
        <v>92</v>
      </c>
      <c r="D24" s="19" t="n">
        <v>46392</v>
      </c>
      <c r="E24" s="20" t="str">
        <f aca="false">TEXT(D24,"ddd")</f>
        <v>Tue</v>
      </c>
      <c r="F24" s="18" t="s">
        <v>93</v>
      </c>
      <c r="G24" s="18" t="s">
        <v>94</v>
      </c>
      <c r="H24" s="18"/>
      <c r="I24" s="7" t="s">
        <v>26</v>
      </c>
      <c r="J24" s="7" t="s">
        <v>26</v>
      </c>
      <c r="K24" s="7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  <c r="T24" s="7" t="s">
        <v>26</v>
      </c>
      <c r="U24" s="8"/>
    </row>
    <row r="25" customFormat="false" ht="15" hidden="false" customHeight="true" outlineLevel="0" collapsed="false">
      <c r="A25" s="17" t="n">
        <v>23</v>
      </c>
      <c r="B25" s="17" t="s">
        <v>77</v>
      </c>
      <c r="C25" s="18" t="s">
        <v>95</v>
      </c>
      <c r="D25" s="19" t="n">
        <v>46395</v>
      </c>
      <c r="E25" s="20" t="str">
        <f aca="false">TEXT(D25,"ddd")</f>
        <v>Fri</v>
      </c>
      <c r="F25" s="18" t="s">
        <v>93</v>
      </c>
      <c r="G25" s="18" t="s">
        <v>96</v>
      </c>
      <c r="H25" s="18"/>
      <c r="I25" s="7" t="s">
        <v>26</v>
      </c>
      <c r="J25" s="7" t="s">
        <v>26</v>
      </c>
      <c r="K25" s="7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  <c r="T25" s="7" t="s">
        <v>26</v>
      </c>
      <c r="U25" s="8"/>
    </row>
    <row r="26" customFormat="false" ht="26.25" hidden="false" customHeight="true" outlineLevel="0" collapsed="false">
      <c r="A26" s="17" t="n">
        <v>24</v>
      </c>
      <c r="B26" s="17" t="s">
        <v>77</v>
      </c>
      <c r="C26" s="18" t="s">
        <v>97</v>
      </c>
      <c r="D26" s="19" t="n">
        <v>46399</v>
      </c>
      <c r="E26" s="20" t="str">
        <f aca="false">TEXT(D26,"ddd")</f>
        <v>Tue</v>
      </c>
      <c r="F26" s="18" t="s">
        <v>98</v>
      </c>
      <c r="G26" s="18" t="s">
        <v>99</v>
      </c>
      <c r="H26" s="18"/>
      <c r="I26" s="7" t="s">
        <v>26</v>
      </c>
      <c r="J26" s="7" t="s">
        <v>26</v>
      </c>
      <c r="K26" s="7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  <c r="T26" s="7" t="s">
        <v>26</v>
      </c>
      <c r="U26" s="8"/>
    </row>
    <row r="27" customFormat="false" ht="15" hidden="false" customHeight="true" outlineLevel="0" collapsed="false">
      <c r="A27" s="21" t="n">
        <v>25</v>
      </c>
      <c r="B27" s="21" t="s">
        <v>100</v>
      </c>
      <c r="C27" s="22" t="s">
        <v>101</v>
      </c>
      <c r="D27" s="23" t="n">
        <v>46402</v>
      </c>
      <c r="E27" s="24" t="str">
        <f aca="false">TEXT(D27,"ddd")</f>
        <v>Fri</v>
      </c>
      <c r="F27" s="22" t="s">
        <v>102</v>
      </c>
      <c r="G27" s="22" t="s">
        <v>103</v>
      </c>
      <c r="H27" s="22"/>
      <c r="I27" s="7" t="s">
        <v>26</v>
      </c>
      <c r="J27" s="7" t="s">
        <v>26</v>
      </c>
      <c r="K27" s="7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  <c r="T27" s="7" t="s">
        <v>26</v>
      </c>
      <c r="U27" s="8"/>
    </row>
    <row r="28" customFormat="false" ht="26.25" hidden="false" customHeight="true" outlineLevel="0" collapsed="false">
      <c r="A28" s="21" t="n">
        <v>26</v>
      </c>
      <c r="B28" s="21" t="s">
        <v>100</v>
      </c>
      <c r="C28" s="22" t="s">
        <v>104</v>
      </c>
      <c r="D28" s="23" t="n">
        <v>46406</v>
      </c>
      <c r="E28" s="24" t="str">
        <f aca="false">TEXT(D28,"ddd")</f>
        <v>Tue</v>
      </c>
      <c r="F28" s="22" t="s">
        <v>105</v>
      </c>
      <c r="G28" s="22" t="s">
        <v>106</v>
      </c>
      <c r="H28" s="22" t="s">
        <v>107</v>
      </c>
      <c r="I28" s="7" t="s">
        <v>26</v>
      </c>
      <c r="J28" s="7" t="s">
        <v>26</v>
      </c>
      <c r="K28" s="7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  <c r="T28" s="7" t="s">
        <v>26</v>
      </c>
      <c r="U28" s="8"/>
    </row>
    <row r="29" customFormat="false" ht="15" hidden="false" customHeight="true" outlineLevel="0" collapsed="false">
      <c r="A29" s="21" t="n">
        <v>27</v>
      </c>
      <c r="B29" s="21" t="s">
        <v>100</v>
      </c>
      <c r="C29" s="22" t="s">
        <v>108</v>
      </c>
      <c r="D29" s="23" t="n">
        <v>46409</v>
      </c>
      <c r="E29" s="24" t="str">
        <f aca="false">TEXT(D29,"ddd")</f>
        <v>Fri</v>
      </c>
      <c r="F29" s="22" t="s">
        <v>109</v>
      </c>
      <c r="G29" s="22" t="s">
        <v>110</v>
      </c>
      <c r="H29" s="22"/>
      <c r="I29" s="7" t="s">
        <v>26</v>
      </c>
      <c r="J29" s="7" t="s">
        <v>26</v>
      </c>
      <c r="K29" s="7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  <c r="T29" s="7" t="s">
        <v>26</v>
      </c>
      <c r="U29" s="8"/>
    </row>
    <row r="30" customFormat="false" ht="26.25" hidden="false" customHeight="true" outlineLevel="0" collapsed="false">
      <c r="A30" s="21" t="n">
        <v>28</v>
      </c>
      <c r="B30" s="21" t="s">
        <v>100</v>
      </c>
      <c r="C30" s="22" t="s">
        <v>111</v>
      </c>
      <c r="D30" s="23" t="n">
        <v>46413</v>
      </c>
      <c r="E30" s="24" t="str">
        <f aca="false">TEXT(D30,"ddd")</f>
        <v>Tue</v>
      </c>
      <c r="F30" s="22" t="s">
        <v>112</v>
      </c>
      <c r="G30" s="22" t="s">
        <v>113</v>
      </c>
      <c r="H30" s="22"/>
      <c r="I30" s="7" t="s">
        <v>26</v>
      </c>
      <c r="J30" s="7" t="s">
        <v>26</v>
      </c>
      <c r="K30" s="7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  <c r="T30" s="7" t="s">
        <v>26</v>
      </c>
      <c r="U30" s="8"/>
    </row>
    <row r="31" customFormat="false" ht="26.25" hidden="false" customHeight="true" outlineLevel="0" collapsed="false">
      <c r="A31" s="21" t="n">
        <v>29</v>
      </c>
      <c r="B31" s="21" t="s">
        <v>100</v>
      </c>
      <c r="C31" s="22" t="s">
        <v>114</v>
      </c>
      <c r="D31" s="23" t="n">
        <v>46416</v>
      </c>
      <c r="E31" s="24" t="str">
        <f aca="false">TEXT(D31,"ddd")</f>
        <v>Fri</v>
      </c>
      <c r="F31" s="22" t="s">
        <v>115</v>
      </c>
      <c r="G31" s="22" t="s">
        <v>116</v>
      </c>
      <c r="H31" s="22" t="s">
        <v>117</v>
      </c>
      <c r="I31" s="7" t="s">
        <v>26</v>
      </c>
      <c r="J31" s="7" t="s">
        <v>26</v>
      </c>
      <c r="K31" s="7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  <c r="T31" s="7" t="s">
        <v>26</v>
      </c>
      <c r="U31" s="8"/>
    </row>
    <row r="32" customFormat="false" ht="15" hidden="false" customHeight="true" outlineLevel="0" collapsed="false">
      <c r="A32" s="21" t="n">
        <v>30</v>
      </c>
      <c r="B32" s="21" t="s">
        <v>100</v>
      </c>
      <c r="C32" s="22" t="s">
        <v>118</v>
      </c>
      <c r="D32" s="23" t="n">
        <v>46420</v>
      </c>
      <c r="E32" s="24" t="str">
        <f aca="false">TEXT(D32,"ddd")</f>
        <v>Tue</v>
      </c>
      <c r="F32" s="22" t="s">
        <v>119</v>
      </c>
      <c r="G32" s="22" t="s">
        <v>120</v>
      </c>
      <c r="H32" s="22"/>
      <c r="I32" s="7" t="s">
        <v>26</v>
      </c>
      <c r="J32" s="7" t="s">
        <v>26</v>
      </c>
      <c r="K32" s="7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  <c r="T32" s="7" t="s">
        <v>26</v>
      </c>
      <c r="U32" s="8"/>
    </row>
    <row r="33" customFormat="false" ht="15" hidden="false" customHeight="true" outlineLevel="0" collapsed="false">
      <c r="A33" s="21" t="n">
        <v>31</v>
      </c>
      <c r="B33" s="21" t="s">
        <v>100</v>
      </c>
      <c r="C33" s="22" t="s">
        <v>121</v>
      </c>
      <c r="D33" s="23" t="n">
        <v>46423</v>
      </c>
      <c r="E33" s="24" t="str">
        <f aca="false">TEXT(D33,"ddd")</f>
        <v>Fri</v>
      </c>
      <c r="F33" s="22" t="s">
        <v>11</v>
      </c>
      <c r="G33" s="22" t="s">
        <v>122</v>
      </c>
      <c r="H33" s="22"/>
      <c r="I33" s="7" t="s">
        <v>26</v>
      </c>
      <c r="J33" s="7" t="s">
        <v>26</v>
      </c>
      <c r="K33" s="7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  <c r="T33" s="7" t="s">
        <v>26</v>
      </c>
      <c r="U33" s="8"/>
    </row>
    <row r="34" customFormat="false" ht="15" hidden="false" customHeight="true" outlineLevel="0" collapsed="false">
      <c r="A34" s="21" t="n">
        <v>32</v>
      </c>
      <c r="B34" s="21" t="s">
        <v>100</v>
      </c>
      <c r="C34" s="22" t="s">
        <v>123</v>
      </c>
      <c r="D34" s="23" t="n">
        <v>46427</v>
      </c>
      <c r="E34" s="24" t="str">
        <f aca="false">TEXT(D34,"ddd")</f>
        <v>Tue</v>
      </c>
      <c r="F34" s="22" t="s">
        <v>124</v>
      </c>
      <c r="G34" s="22" t="s">
        <v>125</v>
      </c>
      <c r="H34" s="22"/>
      <c r="I34" s="7" t="s">
        <v>26</v>
      </c>
      <c r="J34" s="7" t="s">
        <v>26</v>
      </c>
      <c r="K34" s="7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  <c r="T34" s="7" t="s">
        <v>26</v>
      </c>
      <c r="U34" s="8"/>
    </row>
  </sheetData>
  <conditionalFormatting sqref="I2:T3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I2:T34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6" min="5" style="1" width="16"/>
  </cols>
  <sheetData>
    <row r="1" customFormat="false" ht="17.25" hidden="false" customHeight="true" outlineLevel="0" collapsed="false">
      <c r="A1" s="25" t="s">
        <v>126</v>
      </c>
    </row>
    <row r="2" customFormat="false" ht="15" hidden="false" customHeight="true" outlineLevel="0" collapsed="false">
      <c r="A2" s="26" t="s">
        <v>127</v>
      </c>
    </row>
    <row r="4" customFormat="false" ht="26.25" hidden="false" customHeight="true" outlineLevel="0" collapsed="false">
      <c r="A4" s="27" t="s">
        <v>1</v>
      </c>
      <c r="B4" s="27" t="s">
        <v>128</v>
      </c>
      <c r="C4" s="27" t="s">
        <v>129</v>
      </c>
      <c r="D4" s="27" t="s">
        <v>19</v>
      </c>
      <c r="E4" s="27" t="s">
        <v>130</v>
      </c>
      <c r="F4" s="27" t="s">
        <v>131</v>
      </c>
    </row>
    <row r="5" customFormat="false" ht="15" hidden="false" customHeight="true" outlineLevel="0" collapsed="false">
      <c r="A5" s="28" t="s">
        <v>27</v>
      </c>
      <c r="B5" s="29" t="n">
        <f aca="false">COUNTIF(Tracker!$B$2:$B$34,A5)</f>
        <v>8</v>
      </c>
      <c r="C5" s="29" t="n">
        <f aca="false">COUNTIFS(Tracker!$B$2:$B$34,A5,Tracker!$I$2:$I$34,"Done")</f>
        <v>4</v>
      </c>
      <c r="D5" s="29" t="n">
        <f aca="false">COUNTIFS(Tracker!$B$2:$B$34,A5,Tracker!$T$2:$T$34,"Done")</f>
        <v>0</v>
      </c>
      <c r="E5" s="30" t="n">
        <f aca="false">INDEX(Tracker!$D$2:$D$34,MATCH(A5,Tracker!$B$2:$B$34,0))</f>
        <v>46322</v>
      </c>
      <c r="F5" s="30" t="n">
        <f aca="false">INDEX(Tracker!$D$2:$D$34,MATCH(A5,Tracker!$B$2:$B$34,0)+COUNTIF(Tracker!$B$2:$B$34,A5)-1)</f>
        <v>46343</v>
      </c>
    </row>
    <row r="6" customFormat="false" ht="15" hidden="false" customHeight="true" outlineLevel="0" collapsed="false">
      <c r="A6" s="28" t="s">
        <v>50</v>
      </c>
      <c r="B6" s="29" t="n">
        <f aca="false">COUNTIF(Tracker!$B$2:$B$34,A6)</f>
        <v>8</v>
      </c>
      <c r="C6" s="29" t="n">
        <f aca="false">COUNTIFS(Tracker!$B$2:$B$34,A6,Tracker!$I$2:$I$34,"Done")</f>
        <v>0</v>
      </c>
      <c r="D6" s="29" t="n">
        <f aca="false">COUNTIFS(Tracker!$B$2:$B$34,A6,Tracker!$T$2:$T$34,"Done")</f>
        <v>0</v>
      </c>
      <c r="E6" s="30" t="n">
        <f aca="false">INDEX(Tracker!$D$2:$D$34,MATCH(A6,Tracker!$B$2:$B$34,0))</f>
        <v>46346</v>
      </c>
      <c r="F6" s="30" t="n">
        <f aca="false">INDEX(Tracker!$D$2:$D$34,MATCH(A6,Tracker!$B$2:$B$34,0)+COUNTIF(Tracker!$B$2:$B$34,A6)-1)</f>
        <v>46371</v>
      </c>
    </row>
    <row r="7" customFormat="false" ht="15" hidden="false" customHeight="true" outlineLevel="0" collapsed="false">
      <c r="A7" s="28" t="s">
        <v>77</v>
      </c>
      <c r="B7" s="29" t="n">
        <f aca="false">COUNTIF(Tracker!$B$2:$B$34,A7)</f>
        <v>8</v>
      </c>
      <c r="C7" s="29" t="n">
        <f aca="false">COUNTIFS(Tracker!$B$2:$B$34,A7,Tracker!$I$2:$I$34,"Done")</f>
        <v>0</v>
      </c>
      <c r="D7" s="29" t="n">
        <f aca="false">COUNTIFS(Tracker!$B$2:$B$34,A7,Tracker!$T$2:$T$34,"Done")</f>
        <v>0</v>
      </c>
      <c r="E7" s="30" t="n">
        <f aca="false">INDEX(Tracker!$D$2:$D$34,MATCH(A7,Tracker!$B$2:$B$34,0))</f>
        <v>46374</v>
      </c>
      <c r="F7" s="30" t="n">
        <f aca="false">INDEX(Tracker!$D$2:$D$34,MATCH(A7,Tracker!$B$2:$B$34,0)+COUNTIF(Tracker!$B$2:$B$34,A7)-1)</f>
        <v>46399</v>
      </c>
    </row>
    <row r="8" customFormat="false" ht="15" hidden="false" customHeight="true" outlineLevel="0" collapsed="false">
      <c r="A8" s="28" t="s">
        <v>100</v>
      </c>
      <c r="B8" s="29" t="n">
        <f aca="false">COUNTIF(Tracker!$B$2:$B$34,A8)</f>
        <v>8</v>
      </c>
      <c r="C8" s="29" t="n">
        <f aca="false">COUNTIFS(Tracker!$B$2:$B$34,A8,Tracker!$I$2:$I$34,"Done")</f>
        <v>0</v>
      </c>
      <c r="D8" s="29" t="n">
        <f aca="false">COUNTIFS(Tracker!$B$2:$B$34,A8,Tracker!$T$2:$T$34,"Done")</f>
        <v>0</v>
      </c>
      <c r="E8" s="30" t="n">
        <f aca="false">INDEX(Tracker!$D$2:$D$34,MATCH(A8,Tracker!$B$2:$B$34,0))</f>
        <v>46402</v>
      </c>
      <c r="F8" s="30" t="n">
        <f aca="false">INDEX(Tracker!$D$2:$D$34,MATCH(A8,Tracker!$B$2:$B$34,0)+COUNTIF(Tracker!$B$2:$B$34,A8)-1)</f>
        <v>46427</v>
      </c>
    </row>
    <row r="9" customFormat="false" ht="15" hidden="false" customHeight="true" outlineLevel="0" collapsed="false">
      <c r="A9" s="28" t="s">
        <v>132</v>
      </c>
      <c r="B9" s="28" t="n">
        <f aca="false">SUM(B5:B8)</f>
        <v>32</v>
      </c>
      <c r="C9" s="28" t="n">
        <f aca="false">SUM(C5:C8)</f>
        <v>4</v>
      </c>
      <c r="D9" s="28" t="n">
        <f aca="false">SUM(D5:D8)</f>
        <v>0</v>
      </c>
    </row>
    <row r="12" customFormat="false" ht="15" hidden="false" customHeight="true" outlineLevel="0" collapsed="false">
      <c r="A12" s="31" t="s">
        <v>133</v>
      </c>
    </row>
    <row r="13" customFormat="false" ht="15" hidden="false" customHeight="true" outlineLevel="0" collapsed="false">
      <c r="A13" s="32" t="s">
        <v>134</v>
      </c>
      <c r="B13" s="33" t="s">
        <v>135</v>
      </c>
    </row>
    <row r="14" customFormat="false" ht="15" hidden="false" customHeight="true" outlineLevel="0" collapsed="false">
      <c r="A14" s="32" t="s">
        <v>136</v>
      </c>
      <c r="B14" s="33" t="s">
        <v>137</v>
      </c>
    </row>
    <row r="15" customFormat="false" ht="15" hidden="false" customHeight="true" outlineLevel="0" collapsed="false">
      <c r="A15" s="32" t="s">
        <v>138</v>
      </c>
      <c r="B15" s="33" t="s">
        <v>139</v>
      </c>
    </row>
    <row r="16" customFormat="false" ht="15" hidden="false" customHeight="true" outlineLevel="0" collapsed="false">
      <c r="A16" s="32" t="s">
        <v>140</v>
      </c>
      <c r="B16" s="33" t="s">
        <v>141</v>
      </c>
    </row>
    <row r="18" customFormat="false" ht="15" hidden="false" customHeight="true" outlineLevel="0" collapsed="false">
      <c r="A18" s="31" t="s">
        <v>142</v>
      </c>
    </row>
    <row r="19" customFormat="false" ht="15" hidden="false" customHeight="true" outlineLevel="0" collapsed="false">
      <c r="A19" s="32" t="s">
        <v>143</v>
      </c>
      <c r="B19" s="33" t="s">
        <v>144</v>
      </c>
    </row>
    <row r="20" customFormat="false" ht="15" hidden="false" customHeight="true" outlineLevel="0" collapsed="false">
      <c r="A20" s="32" t="s">
        <v>145</v>
      </c>
      <c r="B20" s="3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2026-10-02T03:44:45Z</dcterms:created>
  <dc:creator>openpyxl</dc:creator>
  <dc:description/>
  <dc:language>en-US</dc:language>
  <cp:lastModifiedBy/>
  <dcterms:modified xsi:type="dcterms:W3CDTF">2026-10-08T16:10:19Z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