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Break Log" sheetId="2" state="visible" r:id="rId4"/>
    <sheet name="Summary" sheetId="3" state="visible" r:id="rId5"/>
    <sheet name="Example Break Log" sheetId="4" state="visible" r:id="rId6"/>
    <sheet name="Example Summar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<sst xmlns="http://schemas.openxmlformats.org/spreadsheetml/2006/main" count="173" uniqueCount="78">
  <si>
    <t xml:space="preserve">RED STRINGS LAB · CASE 10 · Break the AI — Break Log</t>
  </si>
  <si>
    <t xml:space="preserve">Every dataset is hiding something.</t>
  </si>
  <si>
    <t xml:space="preserve">You will try to fool the classifier you built in Case 9, find out WHY it fails, fix it, and test again.</t>
  </si>
  <si>
    <t xml:space="preserve">⚠ The 'Example' tabs are MADE UP to show the layout. They are not real model results.</t>
  </si>
  <si>
    <t xml:space="preserve">TABS</t>
  </si>
  <si>
    <t xml:space="preserve">• Break Log — one row per attempt: the trick, what you showed, what it guessed, how sure it was, your theory, your fix, your re-test.</t>
  </si>
  <si>
    <t xml:space="preserve">• Summary — which tricks fooled it, how confident it was when fooled, and how many fixes worked.</t>
  </si>
  <si>
    <t xml:space="preserve">• Example Break Log / Example Summary — a made-up filled log.</t>
  </si>
  <si>
    <t xml:space="preserve">HOW TO FILL THE TRUE CLASS</t>
  </si>
  <si>
    <t xml:space="preserve">The 'true class' is what the model SHOULD say. If you show an object it was never trained on, the right answer is your 'Nothing' class.</t>
  </si>
  <si>
    <t xml:space="preserve">Type class names EXACTLY the same in the true-class and guess columns, or Fooled? will be wrong.</t>
  </si>
  <si>
    <t xml:space="preserve">RULES</t>
  </si>
  <si>
    <t xml:space="preserve">1. Only break YOUR OWN toy model, using objects. No faces, no other people, no personal photos.</t>
  </si>
  <si>
    <t xml:space="preserve">2. This is about learning why models fail, not about attacking real systems. Never test your tricks on a system you don't own.</t>
  </si>
  <si>
    <t xml:space="preserve">3. Log every attempt, including the ones that did NOT fool it.</t>
  </si>
  <si>
    <t xml:space="preserve">4. A fix is only a fix if you re-test on NEW examples, not the ones you just added.</t>
  </si>
  <si>
    <t xml:space="preserve">5. Check the tool's own terms and privacy links, and your account's age rules.</t>
  </si>
  <si>
    <t xml:space="preserve">Not affiliated with Google or any tool shown. Free to use for learning. Terms checked: [add date].</t>
  </si>
  <si>
    <t xml:space="preserve">Attempt #</t>
  </si>
  <si>
    <t xml:space="preserve">Trick</t>
  </si>
  <si>
    <t xml:space="preserve">True class (what it SHOULD say)</t>
  </si>
  <si>
    <t xml:space="preserve">Model's guess</t>
  </si>
  <si>
    <t xml:space="preserve">Confidence (%)</t>
  </si>
  <si>
    <t xml:space="preserve">Fooled?</t>
  </si>
  <si>
    <t xml:space="preserve">Why I think it happened</t>
  </si>
  <si>
    <t xml:space="preserve">Fix I'll try (examples to add)</t>
  </si>
  <si>
    <t xml:space="preserve">Re-test guess (new example)</t>
  </si>
  <si>
    <t xml:space="preserve">Fixed?</t>
  </si>
  <si>
    <t xml:space="preserve">Rows 2 to 31 (30 attempts). Yellow = yours to fill. Pick the trick from the dropdown.</t>
  </si>
  <si>
    <t xml:space="preserve">SUMMARY (yours)</t>
  </si>
  <si>
    <t xml:space="preserve">What we calculate</t>
  </si>
  <si>
    <t xml:space="preserve">Result</t>
  </si>
  <si>
    <t xml:space="preserve">What it tells you</t>
  </si>
  <si>
    <t xml:space="preserve">Attempts logged</t>
  </si>
  <si>
    <t xml:space="preserve">Aim for 15 or more, across at least 5 tricks</t>
  </si>
  <si>
    <t xml:space="preserve">Times it was fooled</t>
  </si>
  <si>
    <t xml:space="preserve">Fool rate</t>
  </si>
  <si>
    <t xml:space="preserve">Not a score to be proud of or ashamed of. A map of weak spots</t>
  </si>
  <si>
    <t xml:space="preserve">Average confidence when FOOLED (%)</t>
  </si>
  <si>
    <t xml:space="preserve">High = confidently wrong</t>
  </si>
  <si>
    <t xml:space="preserve">Average confidence when NOT fooled (%)</t>
  </si>
  <si>
    <t xml:space="preserve">Fixes re-tested</t>
  </si>
  <si>
    <t xml:space="preserve">Only fooled attempts get a re-test</t>
  </si>
  <si>
    <t xml:space="preserve">Fixes that worked</t>
  </si>
  <si>
    <t xml:space="preserve">WHICH TRICKS WORK?</t>
  </si>
  <si>
    <t xml:space="preserve">Attempts</t>
  </si>
  <si>
    <t xml:space="preserve">Fooled</t>
  </si>
  <si>
    <t xml:space="preserve">Lighting</t>
  </si>
  <si>
    <t xml:space="preserve">Angle</t>
  </si>
  <si>
    <t xml:space="preserve">Distance</t>
  </si>
  <si>
    <t xml:space="preserve">Background</t>
  </si>
  <si>
    <t xml:space="preserve">Partly hidden</t>
  </si>
  <si>
    <t xml:space="preserve">Lookalike object</t>
  </si>
  <si>
    <t xml:space="preserve">Something new</t>
  </si>
  <si>
    <t xml:space="preserve">Other</t>
  </si>
  <si>
    <t xml:space="preserve">Ask: is it the TRICK that fooled it, or something my training examples never showed it?</t>
  </si>
  <si>
    <t xml:space="preserve">MADE-UP EXAMPLE. Not a real model result.</t>
  </si>
  <si>
    <t xml:space="preserve">Mug</t>
  </si>
  <si>
    <t xml:space="preserve">Notebook</t>
  </si>
  <si>
    <t xml:space="preserve">Trained with lamp on only</t>
  </si>
  <si>
    <t xml:space="preserve">Add examples with lamp off</t>
  </si>
  <si>
    <t xml:space="preserve">Nothing</t>
  </si>
  <si>
    <t xml:space="preserve">Notebook too small in frame</t>
  </si>
  <si>
    <t xml:space="preserve">Add far-away examples</t>
  </si>
  <si>
    <t xml:space="preserve">Trained on one desk only</t>
  </si>
  <si>
    <t xml:space="preserve">Add other backgrounds</t>
  </si>
  <si>
    <t xml:space="preserve">Same: one desk only</t>
  </si>
  <si>
    <t xml:space="preserve">Handle hidden, shape unfamiliar</t>
  </si>
  <si>
    <t xml:space="preserve">Add partly hidden examples</t>
  </si>
  <si>
    <t xml:space="preserve">A glass has a mug-like shape</t>
  </si>
  <si>
    <t xml:space="preserve">Add the glass to 'Nothing'</t>
  </si>
  <si>
    <t xml:space="preserve">A thick book looks like a notebook</t>
  </si>
  <si>
    <t xml:space="preserve">Add the book to 'Nothing'</t>
  </si>
  <si>
    <t xml:space="preserve">Never saw a stapler; must pick a class</t>
  </si>
  <si>
    <t xml:space="preserve">Add the stapler to 'Nothing'</t>
  </si>
  <si>
    <t xml:space="preserve">Shadow looked like a mug</t>
  </si>
  <si>
    <t xml:space="preserve">Add shadow examples to 'Nothing'</t>
  </si>
  <si>
    <t xml:space="preserve">SUMMARY (MADE-UP EXAMPLE)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</si>
</sst>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%"/>
    <numFmt numFmtId="167" formatCode="0.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4213D"/>
      <name val="Arial"/>
      <family val="0"/>
      <charset val="1"/>
    </font>
    <font>
      <i val="true"/>
      <sz val="11"/>
      <color rgb="FF808080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B00020"/>
      <name val="Arial"/>
      <family val="0"/>
      <charset val="1"/>
    </font>
    <font>
      <b val="true"/>
      <sz val="12"/>
      <color rgb="FF14213D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3"/>
      <color rgb="FF14213D"/>
      <name val="Arial"/>
      <family val="0"/>
      <charset val="1"/>
    </font>
    <font>
      <sz val="10"/>
      <color rgb="FF808080"/>
      <name val="Arial"/>
      <family val="0"/>
      <charset val="1"/>
    </font>
    <font>
      <b val="true"/>
      <sz val="11"/>
      <color rgb="FF14213D"/>
      <name val="Arial"/>
      <family val="0"/>
      <charset val="1"/>
    </font>
    <font>
      <i val="true"/>
      <sz val="11"/>
      <color rgb="FFB0002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i val="true"/>
      <sz val="9"/>
      <color rgb="FFB00020"/>
      <name val="Arial"/>
      <family val="0"/>
      <charset val="1"/>
    </font>
    <font>
      <sz val="11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4213D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002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878787"/>
      <rgbColor rgb="FF003366"/>
      <rgbColor rgb="FF339966"/>
      <rgbColor rgb="FF003300"/>
      <rgbColor rgb="FF333300"/>
      <rgbColor rgb="FF993300"/>
      <rgbColor rgb="FF993366"/>
      <rgbColor rgb="FF333399"/>
      <rgbColor rgb="FF1421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Fool rate by trick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Summary!D14</c:f>
              <c:strCache>
                <c:ptCount val="1"/>
                <c:pt idx="0">
                  <c:v>Fool rate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Summary!$A$15:$A$22</c:f>
              <c:strCache>
                <c:ptCount val="8"/>
                <c:pt idx="0">
                  <c:v>Lighting</c:v>
                </c:pt>
                <c:pt idx="1">
                  <c:v>Angle</c:v>
                </c:pt>
                <c:pt idx="2">
                  <c:v>Distance</c:v>
                </c:pt>
                <c:pt idx="3">
                  <c:v>Background</c:v>
                </c:pt>
                <c:pt idx="4">
                  <c:v>Partly hidden</c:v>
                </c:pt>
                <c:pt idx="5">
                  <c:v>Lookalike object</c:v>
                </c:pt>
                <c:pt idx="6">
                  <c:v>Something new</c:v>
                </c:pt>
                <c:pt idx="7">
                  <c:v>Other</c:v>
                </c:pt>
              </c:strCache>
            </c:strRef>
          </c:cat>
          <c:val>
            <c:numRef>
              <c:f>Summary!$D$15:$D$22</c:f>
              <c:numCache>
                <c:formatCode>General</c:formatCode>
                <c:ptCount val="8"/>
              </c:numCache>
            </c:numRef>
          </c:val>
        </c:ser>
        <c:gapWidth val="150"/>
        <c:overlap val="0"/>
        <c:axId val="51492053"/>
        <c:axId val="23589153"/>
      </c:barChart>
      <c:catAx>
        <c:axId val="5149205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589153"/>
        <c:crosses val="autoZero"/>
        <c:auto val="1"/>
        <c:lblAlgn val="ctr"/>
        <c:lblOffset val="100"/>
        <c:noMultiLvlLbl val="0"/>
      </c:catAx>
      <c:valAx>
        <c:axId val="23589153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49205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Fool rate by trick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'Example Summary'!D14</c:f>
              <c:strCache>
                <c:ptCount val="1"/>
                <c:pt idx="0">
                  <c:v>Fool rate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'Example Summary'!$A$15:$A$22</c:f>
              <c:strCache>
                <c:ptCount val="8"/>
                <c:pt idx="0">
                  <c:v>Lighting</c:v>
                </c:pt>
                <c:pt idx="1">
                  <c:v>Angle</c:v>
                </c:pt>
                <c:pt idx="2">
                  <c:v>Distance</c:v>
                </c:pt>
                <c:pt idx="3">
                  <c:v>Background</c:v>
                </c:pt>
                <c:pt idx="4">
                  <c:v>Partly hidden</c:v>
                </c:pt>
                <c:pt idx="5">
                  <c:v>Lookalike object</c:v>
                </c:pt>
                <c:pt idx="6">
                  <c:v>Something new</c:v>
                </c:pt>
                <c:pt idx="7">
                  <c:v>Other</c:v>
                </c:pt>
              </c:strCache>
            </c:strRef>
          </c:cat>
          <c:val>
            <c:numRef>
              <c:f>'Example Summary'!$D$15:$D$22</c:f>
              <c:numCache>
                <c:formatCode>0%</c:formatCode>
                <c:ptCount val="8"/>
                <c:pt idx="0">
                  <c:v>0.666666666666667</c:v>
                </c:pt>
                <c:pt idx="1">
                  <c:v>0</c:v>
                </c:pt>
                <c:pt idx="2">
                  <c:v>0.5</c:v>
                </c:pt>
                <c:pt idx="3">
                  <c:v>0.666666666666667</c:v>
                </c:pt>
                <c:pt idx="4">
                  <c:v>0.5</c:v>
                </c:pt>
                <c:pt idx="5">
                  <c:v>1</c:v>
                </c:pt>
                <c:pt idx="6">
                  <c:v>0.5</c:v>
                </c:pt>
              </c:numCache>
            </c:numRef>
          </c:val>
        </c:ser>
        <c:gapWidth val="150"/>
        <c:overlap val="0"/>
        <c:axId val="61413567"/>
        <c:axId val="59852095"/>
      </c:barChart>
      <c:catAx>
        <c:axId val="61413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852095"/>
        <c:crosses val="autoZero"/>
        <c:auto val="1"/>
        <c:lblAlgn val="ctr"/>
        <c:lblOffset val="100"/>
        <c:noMultiLvlLbl val="0"/>
      </c:catAx>
      <c:valAx>
        <c:axId val="59852095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41356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175680</xdr:rowOff>
    </xdr:from>
    <xdr:to>
      <xdr:col>14</xdr:col>
      <xdr:colOff>147600</xdr:colOff>
      <xdr:row>17</xdr:row>
      <xdr:rowOff>7560</xdr:rowOff>
    </xdr:to>
    <xdr:graphicFrame>
      <xdr:nvGraphicFramePr>
        <xdr:cNvPr id="0" name="Chart 1"/>
        <xdr:cNvGraphicFramePr/>
      </xdr:nvGraphicFramePr>
      <xdr:xfrm>
        <a:off x="10338480" y="38088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175680</xdr:rowOff>
    </xdr:from>
    <xdr:to>
      <xdr:col>14</xdr:col>
      <xdr:colOff>147600</xdr:colOff>
      <xdr:row>17</xdr:row>
      <xdr:rowOff>7560</xdr:rowOff>
    </xdr:to>
    <xdr:graphicFrame>
      <xdr:nvGraphicFramePr>
        <xdr:cNvPr id="1" name="Chart 1"/>
        <xdr:cNvGraphicFramePr/>
      </xdr:nvGraphicFramePr>
      <xdr:xfrm>
        <a:off x="10338480" y="38088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98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/>
    </row>
    <row r="5" customFormat="false" ht="15" hidden="false" customHeight="false" outlineLevel="0" collapsed="false">
      <c r="B5" s="4" t="s">
        <v>2</v>
      </c>
    </row>
    <row r="6" customFormat="false" ht="15" hidden="false" customHeight="false" outlineLevel="0" collapsed="false">
      <c r="B6" s="5" t="s">
        <v>3</v>
      </c>
    </row>
    <row r="7" customFormat="false" ht="15" hidden="false" customHeight="false" outlineLevel="0" collapsed="false">
      <c r="B7" s="3"/>
    </row>
    <row r="8" customFormat="false" ht="15" hidden="false" customHeight="false" outlineLevel="0" collapsed="false">
      <c r="B8" s="6" t="s">
        <v>4</v>
      </c>
    </row>
    <row r="9" customFormat="false" ht="26.85" hidden="false" customHeight="false" outlineLevel="0" collapsed="false">
      <c r="B9" s="4" t="s">
        <v>5</v>
      </c>
    </row>
    <row r="10" customFormat="false" ht="15" hidden="false" customHeight="false" outlineLevel="0" collapsed="false">
      <c r="B10" s="4" t="s">
        <v>6</v>
      </c>
    </row>
    <row r="11" customFormat="false" ht="15" hidden="false" customHeight="false" outlineLevel="0" collapsed="false">
      <c r="B11" s="4" t="s">
        <v>7</v>
      </c>
    </row>
    <row r="12" customFormat="false" ht="15" hidden="false" customHeight="false" outlineLevel="0" collapsed="false">
      <c r="B12" s="3"/>
    </row>
    <row r="13" customFormat="false" ht="15" hidden="false" customHeight="false" outlineLevel="0" collapsed="false">
      <c r="B13" s="6" t="s">
        <v>8</v>
      </c>
    </row>
    <row r="14" customFormat="false" ht="26.85" hidden="false" customHeight="false" outlineLevel="0" collapsed="false">
      <c r="B14" s="4" t="s">
        <v>9</v>
      </c>
    </row>
    <row r="15" customFormat="false" ht="15" hidden="false" customHeight="false" outlineLevel="0" collapsed="false">
      <c r="B15" s="4" t="s">
        <v>10</v>
      </c>
    </row>
    <row r="16" customFormat="false" ht="15" hidden="false" customHeight="false" outlineLevel="0" collapsed="false">
      <c r="B16" s="3"/>
    </row>
    <row r="17" customFormat="false" ht="15" hidden="false" customHeight="false" outlineLevel="0" collapsed="false">
      <c r="B17" s="6" t="s">
        <v>11</v>
      </c>
    </row>
    <row r="18" customFormat="false" ht="15" hidden="false" customHeight="false" outlineLevel="0" collapsed="false">
      <c r="B18" s="4" t="s">
        <v>12</v>
      </c>
    </row>
    <row r="19" customFormat="false" ht="26.85" hidden="false" customHeight="false" outlineLevel="0" collapsed="false">
      <c r="B19" s="4" t="s">
        <v>13</v>
      </c>
    </row>
    <row r="20" customFormat="false" ht="15" hidden="false" customHeight="false" outlineLevel="0" collapsed="false">
      <c r="B20" s="4" t="s">
        <v>14</v>
      </c>
    </row>
    <row r="21" customFormat="false" ht="15" hidden="false" customHeight="false" outlineLevel="0" collapsed="false">
      <c r="B21" s="4" t="s">
        <v>15</v>
      </c>
    </row>
    <row r="22" customFormat="false" ht="15" hidden="false" customHeight="false" outlineLevel="0" collapsed="false">
      <c r="B22" s="4" t="s">
        <v>16</v>
      </c>
    </row>
    <row r="23" customFormat="false" ht="15" hidden="false" customHeight="false" outlineLevel="0" collapsed="false">
      <c r="B23" s="3"/>
    </row>
    <row r="24" customFormat="false" ht="15" hidden="false" customHeight="false" outlineLevel="0" collapsed="false">
      <c r="B24" s="7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8"/>
    <col collapsed="false" customWidth="true" hidden="false" outlineLevel="0" max="3" min="3" style="0" width="24"/>
    <col collapsed="false" customWidth="true" hidden="false" outlineLevel="0" max="4" min="4" style="0" width="16"/>
    <col collapsed="false" customWidth="true" hidden="false" outlineLevel="0" max="5" min="5" style="0" width="13"/>
    <col collapsed="false" customWidth="true" hidden="false" outlineLevel="0" max="6" min="6" style="0" width="10"/>
    <col collapsed="false" customWidth="true" hidden="false" outlineLevel="0" max="7" min="7" style="0" width="38"/>
    <col collapsed="false" customWidth="true" hidden="false" outlineLevel="0" max="8" min="8" style="0" width="36"/>
    <col collapsed="false" customWidth="true" hidden="false" outlineLevel="0" max="9" min="9" style="0" width="18"/>
    <col collapsed="false" customWidth="true" hidden="false" outlineLevel="0" max="10" min="10" style="0" width="10"/>
  </cols>
  <sheetData>
    <row r="1" customFormat="false" ht="48" hidden="false" customHeight="true" outlineLevel="0" collapsed="false">
      <c r="A1" s="8" t="s">
        <v>18</v>
      </c>
      <c r="B1" s="8" t="s">
        <v>19</v>
      </c>
      <c r="C1" s="8" t="s">
        <v>20</v>
      </c>
      <c r="D1" s="8" t="s">
        <v>21</v>
      </c>
      <c r="E1" s="8" t="s">
        <v>22</v>
      </c>
      <c r="F1" s="8" t="s">
        <v>23</v>
      </c>
      <c r="G1" s="8" t="s">
        <v>24</v>
      </c>
      <c r="H1" s="8" t="s">
        <v>25</v>
      </c>
      <c r="I1" s="8" t="s">
        <v>26</v>
      </c>
      <c r="J1" s="8" t="s">
        <v>27</v>
      </c>
      <c r="L1" s="9" t="s">
        <v>28</v>
      </c>
    </row>
    <row r="2" customFormat="false" ht="15" hidden="false" customHeight="false" outlineLevel="0" collapsed="false">
      <c r="A2" s="10" t="n">
        <v>1</v>
      </c>
      <c r="B2" s="11"/>
      <c r="C2" s="11"/>
      <c r="D2" s="11"/>
      <c r="E2" s="11"/>
      <c r="F2" s="12" t="str">
        <f aca="false">IF(OR(C2="",D2=""),"",IF(C2=D2,"No","Yes"))</f>
        <v/>
      </c>
      <c r="G2" s="13"/>
      <c r="H2" s="13"/>
      <c r="I2" s="11"/>
      <c r="J2" s="12" t="str">
        <f aca="false">IF(OR(F2&lt;&gt;"Yes",I2=""),"",IF(I2=C2,"Yes","No"))</f>
        <v/>
      </c>
    </row>
    <row r="3" customFormat="false" ht="15" hidden="false" customHeight="false" outlineLevel="0" collapsed="false">
      <c r="A3" s="10" t="n">
        <v>2</v>
      </c>
      <c r="B3" s="11"/>
      <c r="C3" s="11"/>
      <c r="D3" s="11"/>
      <c r="E3" s="11"/>
      <c r="F3" s="12" t="str">
        <f aca="false">IF(OR(C3="",D3=""),"",IF(C3=D3,"No","Yes"))</f>
        <v/>
      </c>
      <c r="G3" s="13"/>
      <c r="H3" s="13"/>
      <c r="I3" s="11"/>
      <c r="J3" s="12" t="str">
        <f aca="false">IF(OR(F3&lt;&gt;"Yes",I3=""),"",IF(I3=C3,"Yes","No"))</f>
        <v/>
      </c>
    </row>
    <row r="4" customFormat="false" ht="15" hidden="false" customHeight="false" outlineLevel="0" collapsed="false">
      <c r="A4" s="10" t="n">
        <v>3</v>
      </c>
      <c r="B4" s="11"/>
      <c r="C4" s="11"/>
      <c r="D4" s="11"/>
      <c r="E4" s="11"/>
      <c r="F4" s="12" t="str">
        <f aca="false">IF(OR(C4="",D4=""),"",IF(C4=D4,"No","Yes"))</f>
        <v/>
      </c>
      <c r="G4" s="13"/>
      <c r="H4" s="13"/>
      <c r="I4" s="11"/>
      <c r="J4" s="12" t="str">
        <f aca="false">IF(OR(F4&lt;&gt;"Yes",I4=""),"",IF(I4=C4,"Yes","No"))</f>
        <v/>
      </c>
    </row>
    <row r="5" customFormat="false" ht="15" hidden="false" customHeight="false" outlineLevel="0" collapsed="false">
      <c r="A5" s="10" t="n">
        <v>4</v>
      </c>
      <c r="B5" s="11"/>
      <c r="C5" s="11"/>
      <c r="D5" s="11"/>
      <c r="E5" s="11"/>
      <c r="F5" s="12" t="str">
        <f aca="false">IF(OR(C5="",D5=""),"",IF(C5=D5,"No","Yes"))</f>
        <v/>
      </c>
      <c r="G5" s="13"/>
      <c r="H5" s="13"/>
      <c r="I5" s="11"/>
      <c r="J5" s="12" t="str">
        <f aca="false">IF(OR(F5&lt;&gt;"Yes",I5=""),"",IF(I5=C5,"Yes","No"))</f>
        <v/>
      </c>
    </row>
    <row r="6" customFormat="false" ht="15" hidden="false" customHeight="false" outlineLevel="0" collapsed="false">
      <c r="A6" s="10" t="n">
        <v>5</v>
      </c>
      <c r="B6" s="11"/>
      <c r="C6" s="11"/>
      <c r="D6" s="11"/>
      <c r="E6" s="11"/>
      <c r="F6" s="12" t="str">
        <f aca="false">IF(OR(C6="",D6=""),"",IF(C6=D6,"No","Yes"))</f>
        <v/>
      </c>
      <c r="G6" s="13"/>
      <c r="H6" s="13"/>
      <c r="I6" s="11"/>
      <c r="J6" s="12" t="str">
        <f aca="false">IF(OR(F6&lt;&gt;"Yes",I6=""),"",IF(I6=C6,"Yes","No"))</f>
        <v/>
      </c>
    </row>
    <row r="7" customFormat="false" ht="15" hidden="false" customHeight="false" outlineLevel="0" collapsed="false">
      <c r="A7" s="10" t="n">
        <v>6</v>
      </c>
      <c r="B7" s="11"/>
      <c r="C7" s="11"/>
      <c r="D7" s="11"/>
      <c r="E7" s="11"/>
      <c r="F7" s="12" t="str">
        <f aca="false">IF(OR(C7="",D7=""),"",IF(C7=D7,"No","Yes"))</f>
        <v/>
      </c>
      <c r="G7" s="13"/>
      <c r="H7" s="13"/>
      <c r="I7" s="11"/>
      <c r="J7" s="12" t="str">
        <f aca="false">IF(OR(F7&lt;&gt;"Yes",I7=""),"",IF(I7=C7,"Yes","No"))</f>
        <v/>
      </c>
    </row>
    <row r="8" customFormat="false" ht="15" hidden="false" customHeight="false" outlineLevel="0" collapsed="false">
      <c r="A8" s="10" t="n">
        <v>7</v>
      </c>
      <c r="B8" s="11"/>
      <c r="C8" s="11"/>
      <c r="D8" s="11"/>
      <c r="E8" s="11"/>
      <c r="F8" s="12" t="str">
        <f aca="false">IF(OR(C8="",D8=""),"",IF(C8=D8,"No","Yes"))</f>
        <v/>
      </c>
      <c r="G8" s="13"/>
      <c r="H8" s="13"/>
      <c r="I8" s="11"/>
      <c r="J8" s="12" t="str">
        <f aca="false">IF(OR(F8&lt;&gt;"Yes",I8=""),"",IF(I8=C8,"Yes","No"))</f>
        <v/>
      </c>
    </row>
    <row r="9" customFormat="false" ht="15" hidden="false" customHeight="false" outlineLevel="0" collapsed="false">
      <c r="A9" s="10" t="n">
        <v>8</v>
      </c>
      <c r="B9" s="11"/>
      <c r="C9" s="11"/>
      <c r="D9" s="11"/>
      <c r="E9" s="11"/>
      <c r="F9" s="12" t="str">
        <f aca="false">IF(OR(C9="",D9=""),"",IF(C9=D9,"No","Yes"))</f>
        <v/>
      </c>
      <c r="G9" s="13"/>
      <c r="H9" s="13"/>
      <c r="I9" s="11"/>
      <c r="J9" s="12" t="str">
        <f aca="false">IF(OR(F9&lt;&gt;"Yes",I9=""),"",IF(I9=C9,"Yes","No"))</f>
        <v/>
      </c>
    </row>
    <row r="10" customFormat="false" ht="15" hidden="false" customHeight="false" outlineLevel="0" collapsed="false">
      <c r="A10" s="10" t="n">
        <v>9</v>
      </c>
      <c r="B10" s="11"/>
      <c r="C10" s="11"/>
      <c r="D10" s="11"/>
      <c r="E10" s="11"/>
      <c r="F10" s="12" t="str">
        <f aca="false">IF(OR(C10="",D10=""),"",IF(C10=D10,"No","Yes"))</f>
        <v/>
      </c>
      <c r="G10" s="13"/>
      <c r="H10" s="13"/>
      <c r="I10" s="11"/>
      <c r="J10" s="12" t="str">
        <f aca="false">IF(OR(F10&lt;&gt;"Yes",I10=""),"",IF(I10=C10,"Yes","No"))</f>
        <v/>
      </c>
    </row>
    <row r="11" customFormat="false" ht="15" hidden="false" customHeight="false" outlineLevel="0" collapsed="false">
      <c r="A11" s="10" t="n">
        <v>10</v>
      </c>
      <c r="B11" s="11"/>
      <c r="C11" s="11"/>
      <c r="D11" s="11"/>
      <c r="E11" s="11"/>
      <c r="F11" s="12" t="str">
        <f aca="false">IF(OR(C11="",D11=""),"",IF(C11=D11,"No","Yes"))</f>
        <v/>
      </c>
      <c r="G11" s="13"/>
      <c r="H11" s="13"/>
      <c r="I11" s="11"/>
      <c r="J11" s="12" t="str">
        <f aca="false">IF(OR(F11&lt;&gt;"Yes",I11=""),"",IF(I11=C11,"Yes","No"))</f>
        <v/>
      </c>
    </row>
    <row r="12" customFormat="false" ht="15" hidden="false" customHeight="false" outlineLevel="0" collapsed="false">
      <c r="A12" s="10" t="n">
        <v>11</v>
      </c>
      <c r="B12" s="11"/>
      <c r="C12" s="11"/>
      <c r="D12" s="11"/>
      <c r="E12" s="11"/>
      <c r="F12" s="12" t="str">
        <f aca="false">IF(OR(C12="",D12=""),"",IF(C12=D12,"No","Yes"))</f>
        <v/>
      </c>
      <c r="G12" s="13"/>
      <c r="H12" s="13"/>
      <c r="I12" s="11"/>
      <c r="J12" s="12" t="str">
        <f aca="false">IF(OR(F12&lt;&gt;"Yes",I12=""),"",IF(I12=C12,"Yes","No"))</f>
        <v/>
      </c>
    </row>
    <row r="13" customFormat="false" ht="15" hidden="false" customHeight="false" outlineLevel="0" collapsed="false">
      <c r="A13" s="10" t="n">
        <v>12</v>
      </c>
      <c r="B13" s="11"/>
      <c r="C13" s="11"/>
      <c r="D13" s="11"/>
      <c r="E13" s="11"/>
      <c r="F13" s="12" t="str">
        <f aca="false">IF(OR(C13="",D13=""),"",IF(C13=D13,"No","Yes"))</f>
        <v/>
      </c>
      <c r="G13" s="13"/>
      <c r="H13" s="13"/>
      <c r="I13" s="11"/>
      <c r="J13" s="12" t="str">
        <f aca="false">IF(OR(F13&lt;&gt;"Yes",I13=""),"",IF(I13=C13,"Yes","No"))</f>
        <v/>
      </c>
    </row>
    <row r="14" customFormat="false" ht="15" hidden="false" customHeight="false" outlineLevel="0" collapsed="false">
      <c r="A14" s="10" t="n">
        <v>13</v>
      </c>
      <c r="B14" s="11"/>
      <c r="C14" s="11"/>
      <c r="D14" s="11"/>
      <c r="E14" s="11"/>
      <c r="F14" s="12" t="str">
        <f aca="false">IF(OR(C14="",D14=""),"",IF(C14=D14,"No","Yes"))</f>
        <v/>
      </c>
      <c r="G14" s="13"/>
      <c r="H14" s="13"/>
      <c r="I14" s="11"/>
      <c r="J14" s="12" t="str">
        <f aca="false">IF(OR(F14&lt;&gt;"Yes",I14=""),"",IF(I14=C14,"Yes","No"))</f>
        <v/>
      </c>
    </row>
    <row r="15" customFormat="false" ht="15" hidden="false" customHeight="false" outlineLevel="0" collapsed="false">
      <c r="A15" s="10" t="n">
        <v>14</v>
      </c>
      <c r="B15" s="11"/>
      <c r="C15" s="11"/>
      <c r="D15" s="11"/>
      <c r="E15" s="11"/>
      <c r="F15" s="12" t="str">
        <f aca="false">IF(OR(C15="",D15=""),"",IF(C15=D15,"No","Yes"))</f>
        <v/>
      </c>
      <c r="G15" s="13"/>
      <c r="H15" s="13"/>
      <c r="I15" s="11"/>
      <c r="J15" s="12" t="str">
        <f aca="false">IF(OR(F15&lt;&gt;"Yes",I15=""),"",IF(I15=C15,"Yes","No"))</f>
        <v/>
      </c>
    </row>
    <row r="16" customFormat="false" ht="15" hidden="false" customHeight="false" outlineLevel="0" collapsed="false">
      <c r="A16" s="10" t="n">
        <v>15</v>
      </c>
      <c r="B16" s="11"/>
      <c r="C16" s="11"/>
      <c r="D16" s="11"/>
      <c r="E16" s="11"/>
      <c r="F16" s="12" t="str">
        <f aca="false">IF(OR(C16="",D16=""),"",IF(C16=D16,"No","Yes"))</f>
        <v/>
      </c>
      <c r="G16" s="13"/>
      <c r="H16" s="13"/>
      <c r="I16" s="11"/>
      <c r="J16" s="12" t="str">
        <f aca="false">IF(OR(F16&lt;&gt;"Yes",I16=""),"",IF(I16=C16,"Yes","No"))</f>
        <v/>
      </c>
    </row>
    <row r="17" customFormat="false" ht="15" hidden="false" customHeight="false" outlineLevel="0" collapsed="false">
      <c r="A17" s="10" t="n">
        <v>16</v>
      </c>
      <c r="B17" s="11"/>
      <c r="C17" s="11"/>
      <c r="D17" s="11"/>
      <c r="E17" s="11"/>
      <c r="F17" s="12" t="str">
        <f aca="false">IF(OR(C17="",D17=""),"",IF(C17=D17,"No","Yes"))</f>
        <v/>
      </c>
      <c r="G17" s="13"/>
      <c r="H17" s="13"/>
      <c r="I17" s="11"/>
      <c r="J17" s="12" t="str">
        <f aca="false">IF(OR(F17&lt;&gt;"Yes",I17=""),"",IF(I17=C17,"Yes","No"))</f>
        <v/>
      </c>
    </row>
    <row r="18" customFormat="false" ht="15" hidden="false" customHeight="false" outlineLevel="0" collapsed="false">
      <c r="A18" s="10" t="n">
        <v>17</v>
      </c>
      <c r="B18" s="11"/>
      <c r="C18" s="11"/>
      <c r="D18" s="11"/>
      <c r="E18" s="11"/>
      <c r="F18" s="12" t="str">
        <f aca="false">IF(OR(C18="",D18=""),"",IF(C18=D18,"No","Yes"))</f>
        <v/>
      </c>
      <c r="G18" s="13"/>
      <c r="H18" s="13"/>
      <c r="I18" s="11"/>
      <c r="J18" s="12" t="str">
        <f aca="false">IF(OR(F18&lt;&gt;"Yes",I18=""),"",IF(I18=C18,"Yes","No"))</f>
        <v/>
      </c>
    </row>
    <row r="19" customFormat="false" ht="15" hidden="false" customHeight="false" outlineLevel="0" collapsed="false">
      <c r="A19" s="10" t="n">
        <v>18</v>
      </c>
      <c r="B19" s="11"/>
      <c r="C19" s="11"/>
      <c r="D19" s="11"/>
      <c r="E19" s="11"/>
      <c r="F19" s="12" t="str">
        <f aca="false">IF(OR(C19="",D19=""),"",IF(C19=D19,"No","Yes"))</f>
        <v/>
      </c>
      <c r="G19" s="13"/>
      <c r="H19" s="13"/>
      <c r="I19" s="11"/>
      <c r="J19" s="12" t="str">
        <f aca="false">IF(OR(F19&lt;&gt;"Yes",I19=""),"",IF(I19=C19,"Yes","No"))</f>
        <v/>
      </c>
    </row>
    <row r="20" customFormat="false" ht="15" hidden="false" customHeight="false" outlineLevel="0" collapsed="false">
      <c r="A20" s="10" t="n">
        <v>19</v>
      </c>
      <c r="B20" s="11"/>
      <c r="C20" s="11"/>
      <c r="D20" s="11"/>
      <c r="E20" s="11"/>
      <c r="F20" s="12" t="str">
        <f aca="false">IF(OR(C20="",D20=""),"",IF(C20=D20,"No","Yes"))</f>
        <v/>
      </c>
      <c r="G20" s="13"/>
      <c r="H20" s="13"/>
      <c r="I20" s="11"/>
      <c r="J20" s="12" t="str">
        <f aca="false">IF(OR(F20&lt;&gt;"Yes",I20=""),"",IF(I20=C20,"Yes","No"))</f>
        <v/>
      </c>
    </row>
    <row r="21" customFormat="false" ht="15" hidden="false" customHeight="false" outlineLevel="0" collapsed="false">
      <c r="A21" s="10" t="n">
        <v>20</v>
      </c>
      <c r="B21" s="11"/>
      <c r="C21" s="11"/>
      <c r="D21" s="11"/>
      <c r="E21" s="11"/>
      <c r="F21" s="12" t="str">
        <f aca="false">IF(OR(C21="",D21=""),"",IF(C21=D21,"No","Yes"))</f>
        <v/>
      </c>
      <c r="G21" s="13"/>
      <c r="H21" s="13"/>
      <c r="I21" s="11"/>
      <c r="J21" s="12" t="str">
        <f aca="false">IF(OR(F21&lt;&gt;"Yes",I21=""),"",IF(I21=C21,"Yes","No"))</f>
        <v/>
      </c>
    </row>
    <row r="22" customFormat="false" ht="15" hidden="false" customHeight="false" outlineLevel="0" collapsed="false">
      <c r="A22" s="10" t="n">
        <v>21</v>
      </c>
      <c r="B22" s="11"/>
      <c r="C22" s="11"/>
      <c r="D22" s="11"/>
      <c r="E22" s="11"/>
      <c r="F22" s="12" t="str">
        <f aca="false">IF(OR(C22="",D22=""),"",IF(C22=D22,"No","Yes"))</f>
        <v/>
      </c>
      <c r="G22" s="13"/>
      <c r="H22" s="13"/>
      <c r="I22" s="11"/>
      <c r="J22" s="12" t="str">
        <f aca="false">IF(OR(F22&lt;&gt;"Yes",I22=""),"",IF(I22=C22,"Yes","No"))</f>
        <v/>
      </c>
    </row>
    <row r="23" customFormat="false" ht="15" hidden="false" customHeight="false" outlineLevel="0" collapsed="false">
      <c r="A23" s="10" t="n">
        <v>22</v>
      </c>
      <c r="B23" s="11"/>
      <c r="C23" s="11"/>
      <c r="D23" s="11"/>
      <c r="E23" s="11"/>
      <c r="F23" s="12" t="str">
        <f aca="false">IF(OR(C23="",D23=""),"",IF(C23=D23,"No","Yes"))</f>
        <v/>
      </c>
      <c r="G23" s="13"/>
      <c r="H23" s="13"/>
      <c r="I23" s="11"/>
      <c r="J23" s="12" t="str">
        <f aca="false">IF(OR(F23&lt;&gt;"Yes",I23=""),"",IF(I23=C23,"Yes","No"))</f>
        <v/>
      </c>
    </row>
    <row r="24" customFormat="false" ht="15" hidden="false" customHeight="false" outlineLevel="0" collapsed="false">
      <c r="A24" s="10" t="n">
        <v>23</v>
      </c>
      <c r="B24" s="11"/>
      <c r="C24" s="11"/>
      <c r="D24" s="11"/>
      <c r="E24" s="11"/>
      <c r="F24" s="12" t="str">
        <f aca="false">IF(OR(C24="",D24=""),"",IF(C24=D24,"No","Yes"))</f>
        <v/>
      </c>
      <c r="G24" s="13"/>
      <c r="H24" s="13"/>
      <c r="I24" s="11"/>
      <c r="J24" s="12" t="str">
        <f aca="false">IF(OR(F24&lt;&gt;"Yes",I24=""),"",IF(I24=C24,"Yes","No"))</f>
        <v/>
      </c>
    </row>
    <row r="25" customFormat="false" ht="15" hidden="false" customHeight="false" outlineLevel="0" collapsed="false">
      <c r="A25" s="10" t="n">
        <v>24</v>
      </c>
      <c r="B25" s="11"/>
      <c r="C25" s="11"/>
      <c r="D25" s="11"/>
      <c r="E25" s="11"/>
      <c r="F25" s="12" t="str">
        <f aca="false">IF(OR(C25="",D25=""),"",IF(C25=D25,"No","Yes"))</f>
        <v/>
      </c>
      <c r="G25" s="13"/>
      <c r="H25" s="13"/>
      <c r="I25" s="11"/>
      <c r="J25" s="12" t="str">
        <f aca="false">IF(OR(F25&lt;&gt;"Yes",I25=""),"",IF(I25=C25,"Yes","No"))</f>
        <v/>
      </c>
    </row>
    <row r="26" customFormat="false" ht="15" hidden="false" customHeight="false" outlineLevel="0" collapsed="false">
      <c r="A26" s="10" t="n">
        <v>25</v>
      </c>
      <c r="B26" s="11"/>
      <c r="C26" s="11"/>
      <c r="D26" s="11"/>
      <c r="E26" s="11"/>
      <c r="F26" s="12" t="str">
        <f aca="false">IF(OR(C26="",D26=""),"",IF(C26=D26,"No","Yes"))</f>
        <v/>
      </c>
      <c r="G26" s="13"/>
      <c r="H26" s="13"/>
      <c r="I26" s="11"/>
      <c r="J26" s="12" t="str">
        <f aca="false">IF(OR(F26&lt;&gt;"Yes",I26=""),"",IF(I26=C26,"Yes","No"))</f>
        <v/>
      </c>
    </row>
    <row r="27" customFormat="false" ht="15" hidden="false" customHeight="false" outlineLevel="0" collapsed="false">
      <c r="A27" s="10" t="n">
        <v>26</v>
      </c>
      <c r="B27" s="11"/>
      <c r="C27" s="11"/>
      <c r="D27" s="11"/>
      <c r="E27" s="11"/>
      <c r="F27" s="12" t="str">
        <f aca="false">IF(OR(C27="",D27=""),"",IF(C27=D27,"No","Yes"))</f>
        <v/>
      </c>
      <c r="G27" s="13"/>
      <c r="H27" s="13"/>
      <c r="I27" s="11"/>
      <c r="J27" s="12" t="str">
        <f aca="false">IF(OR(F27&lt;&gt;"Yes",I27=""),"",IF(I27=C27,"Yes","No"))</f>
        <v/>
      </c>
    </row>
    <row r="28" customFormat="false" ht="15" hidden="false" customHeight="false" outlineLevel="0" collapsed="false">
      <c r="A28" s="10" t="n">
        <v>27</v>
      </c>
      <c r="B28" s="11"/>
      <c r="C28" s="11"/>
      <c r="D28" s="11"/>
      <c r="E28" s="11"/>
      <c r="F28" s="12" t="str">
        <f aca="false">IF(OR(C28="",D28=""),"",IF(C28=D28,"No","Yes"))</f>
        <v/>
      </c>
      <c r="G28" s="13"/>
      <c r="H28" s="13"/>
      <c r="I28" s="11"/>
      <c r="J28" s="12" t="str">
        <f aca="false">IF(OR(F28&lt;&gt;"Yes",I28=""),"",IF(I28=C28,"Yes","No"))</f>
        <v/>
      </c>
    </row>
    <row r="29" customFormat="false" ht="15" hidden="false" customHeight="false" outlineLevel="0" collapsed="false">
      <c r="A29" s="10" t="n">
        <v>28</v>
      </c>
      <c r="B29" s="11"/>
      <c r="C29" s="11"/>
      <c r="D29" s="11"/>
      <c r="E29" s="11"/>
      <c r="F29" s="12" t="str">
        <f aca="false">IF(OR(C29="",D29=""),"",IF(C29=D29,"No","Yes"))</f>
        <v/>
      </c>
      <c r="G29" s="13"/>
      <c r="H29" s="13"/>
      <c r="I29" s="11"/>
      <c r="J29" s="12" t="str">
        <f aca="false">IF(OR(F29&lt;&gt;"Yes",I29=""),"",IF(I29=C29,"Yes","No"))</f>
        <v/>
      </c>
    </row>
    <row r="30" customFormat="false" ht="15" hidden="false" customHeight="false" outlineLevel="0" collapsed="false">
      <c r="A30" s="10" t="n">
        <v>29</v>
      </c>
      <c r="B30" s="11"/>
      <c r="C30" s="11"/>
      <c r="D30" s="11"/>
      <c r="E30" s="11"/>
      <c r="F30" s="12" t="str">
        <f aca="false">IF(OR(C30="",D30=""),"",IF(C30=D30,"No","Yes"))</f>
        <v/>
      </c>
      <c r="G30" s="13"/>
      <c r="H30" s="13"/>
      <c r="I30" s="11"/>
      <c r="J30" s="12" t="str">
        <f aca="false">IF(OR(F30&lt;&gt;"Yes",I30=""),"",IF(I30=C30,"Yes","No"))</f>
        <v/>
      </c>
    </row>
    <row r="31" customFormat="false" ht="15" hidden="false" customHeight="false" outlineLevel="0" collapsed="false">
      <c r="A31" s="10" t="n">
        <v>30</v>
      </c>
      <c r="B31" s="11"/>
      <c r="C31" s="11"/>
      <c r="D31" s="11"/>
      <c r="E31" s="11"/>
      <c r="F31" s="12" t="str">
        <f aca="false">IF(OR(C31="",D31=""),"",IF(C31=D31,"No","Yes"))</f>
        <v/>
      </c>
      <c r="G31" s="13"/>
      <c r="H31" s="13"/>
      <c r="I31" s="11"/>
      <c r="J31" s="12" t="str">
        <f aca="false">IF(OR(F31&lt;&gt;"Yes",I31=""),"",IF(I31=C31,"Yes","No"))</f>
        <v/>
      </c>
    </row>
  </sheetData>
  <dataValidations count="1">
    <dataValidation allowBlank="true" errorStyle="stop" operator="between" showDropDown="false" showErrorMessage="false" showInputMessage="false" sqref="B2:B31" type="list">
      <formula1>"Lighting,Angle,Distance,Background,Partly hidden,Lookalike object,Something new,Other"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4"/>
    <col collapsed="false" customWidth="true" hidden="false" outlineLevel="0" max="5" min="5" style="0" width="50"/>
  </cols>
  <sheetData>
    <row r="1" customFormat="false" ht="16.15" hidden="false" customHeight="false" outlineLevel="0" collapsed="false">
      <c r="A1" s="14" t="s">
        <v>29</v>
      </c>
    </row>
    <row r="3" customFormat="false" ht="15" hidden="false" customHeight="false" outlineLevel="0" collapsed="false">
      <c r="A3" s="8" t="s">
        <v>30</v>
      </c>
      <c r="B3" s="8" t="s">
        <v>31</v>
      </c>
      <c r="C3" s="8"/>
      <c r="D3" s="8"/>
      <c r="E3" s="8" t="s">
        <v>32</v>
      </c>
    </row>
    <row r="4" customFormat="false" ht="15" hidden="false" customHeight="false" outlineLevel="0" collapsed="false">
      <c r="A4" s="15" t="s">
        <v>33</v>
      </c>
      <c r="B4" s="16" t="n">
        <f aca="false">COUNTA('Break Log'!C2:C31)</f>
        <v>0</v>
      </c>
      <c r="E4" s="17" t="s">
        <v>34</v>
      </c>
    </row>
    <row r="5" customFormat="false" ht="15" hidden="false" customHeight="false" outlineLevel="0" collapsed="false">
      <c r="A5" s="15" t="s">
        <v>35</v>
      </c>
      <c r="B5" s="16" t="n">
        <f aca="false">COUNTIF('Break Log'!F2:F31,"Yes")</f>
        <v>0</v>
      </c>
      <c r="E5" s="17"/>
    </row>
    <row r="6" customFormat="false" ht="15" hidden="false" customHeight="false" outlineLevel="0" collapsed="false">
      <c r="A6" s="15" t="s">
        <v>36</v>
      </c>
      <c r="B6" s="18" t="str">
        <f aca="false">IFERROR(B5/B4,"")</f>
        <v/>
      </c>
      <c r="E6" s="17" t="s">
        <v>37</v>
      </c>
    </row>
    <row r="7" customFormat="false" ht="15" hidden="false" customHeight="false" outlineLevel="0" collapsed="false">
      <c r="A7" s="15" t="s">
        <v>38</v>
      </c>
      <c r="B7" s="19" t="str">
        <f aca="false">IFERROR(AVERAGEIFS('Break Log'!E2:E31,'Break Log'!F2:F31,"Yes"),"")</f>
        <v/>
      </c>
      <c r="E7" s="17" t="s">
        <v>39</v>
      </c>
    </row>
    <row r="8" customFormat="false" ht="15" hidden="false" customHeight="false" outlineLevel="0" collapsed="false">
      <c r="A8" s="15" t="s">
        <v>40</v>
      </c>
      <c r="B8" s="19" t="str">
        <f aca="false">IFERROR(AVERAGEIFS('Break Log'!E2:E31,'Break Log'!F2:F31,"No"),"")</f>
        <v/>
      </c>
      <c r="E8" s="17"/>
    </row>
    <row r="9" customFormat="false" ht="15" hidden="false" customHeight="false" outlineLevel="0" collapsed="false">
      <c r="A9" s="15" t="s">
        <v>41</v>
      </c>
      <c r="B9" s="16" t="n">
        <f aca="false">COUNTIF('Break Log'!J2:J31,"Yes")+COUNTIF('Break Log'!J2:J31,"No")</f>
        <v>0</v>
      </c>
      <c r="E9" s="17" t="s">
        <v>42</v>
      </c>
    </row>
    <row r="10" customFormat="false" ht="15" hidden="false" customHeight="false" outlineLevel="0" collapsed="false">
      <c r="A10" s="15" t="s">
        <v>43</v>
      </c>
      <c r="B10" s="16" t="n">
        <f aca="false">COUNTIF('Break Log'!J2:J31,"Yes")</f>
        <v>0</v>
      </c>
      <c r="E10" s="17"/>
    </row>
    <row r="13" customFormat="false" ht="15" hidden="false" customHeight="false" outlineLevel="0" collapsed="false">
      <c r="A13" s="20" t="s">
        <v>44</v>
      </c>
    </row>
    <row r="14" customFormat="false" ht="15" hidden="false" customHeight="false" outlineLevel="0" collapsed="false">
      <c r="A14" s="8" t="s">
        <v>19</v>
      </c>
      <c r="B14" s="8" t="s">
        <v>45</v>
      </c>
      <c r="C14" s="8" t="s">
        <v>46</v>
      </c>
      <c r="D14" s="8" t="s">
        <v>36</v>
      </c>
    </row>
    <row r="15" customFormat="false" ht="15" hidden="false" customHeight="false" outlineLevel="0" collapsed="false">
      <c r="A15" s="21" t="s">
        <v>47</v>
      </c>
      <c r="B15" s="21" t="n">
        <f aca="false">COUNTIF('Break Log'!B2:B31,A15)</f>
        <v>0</v>
      </c>
      <c r="C15" s="21" t="n">
        <f aca="false">COUNTIFS('Break Log'!B2:B31,A15,'Break Log'!F2:F31,"Yes")</f>
        <v>0</v>
      </c>
      <c r="D15" s="22" t="str">
        <f aca="false">IF(B15=0,"",C15/B15)</f>
        <v/>
      </c>
    </row>
    <row r="16" customFormat="false" ht="15" hidden="false" customHeight="false" outlineLevel="0" collapsed="false">
      <c r="A16" s="21" t="s">
        <v>48</v>
      </c>
      <c r="B16" s="21" t="n">
        <f aca="false">COUNTIF('Break Log'!B2:B31,A16)</f>
        <v>0</v>
      </c>
      <c r="C16" s="21" t="n">
        <f aca="false">COUNTIFS('Break Log'!B2:B31,A16,'Break Log'!F2:F31,"Yes")</f>
        <v>0</v>
      </c>
      <c r="D16" s="22" t="str">
        <f aca="false">IF(B16=0,"",C16/B16)</f>
        <v/>
      </c>
    </row>
    <row r="17" customFormat="false" ht="15" hidden="false" customHeight="false" outlineLevel="0" collapsed="false">
      <c r="A17" s="21" t="s">
        <v>49</v>
      </c>
      <c r="B17" s="21" t="n">
        <f aca="false">COUNTIF('Break Log'!B2:B31,A17)</f>
        <v>0</v>
      </c>
      <c r="C17" s="21" t="n">
        <f aca="false">COUNTIFS('Break Log'!B2:B31,A17,'Break Log'!F2:F31,"Yes")</f>
        <v>0</v>
      </c>
      <c r="D17" s="22" t="str">
        <f aca="false">IF(B17=0,"",C17/B17)</f>
        <v/>
      </c>
    </row>
    <row r="18" customFormat="false" ht="15" hidden="false" customHeight="false" outlineLevel="0" collapsed="false">
      <c r="A18" s="21" t="s">
        <v>50</v>
      </c>
      <c r="B18" s="21" t="n">
        <f aca="false">COUNTIF('Break Log'!B2:B31,A18)</f>
        <v>0</v>
      </c>
      <c r="C18" s="21" t="n">
        <f aca="false">COUNTIFS('Break Log'!B2:B31,A18,'Break Log'!F2:F31,"Yes")</f>
        <v>0</v>
      </c>
      <c r="D18" s="22" t="str">
        <f aca="false">IF(B18=0,"",C18/B18)</f>
        <v/>
      </c>
    </row>
    <row r="19" customFormat="false" ht="15" hidden="false" customHeight="false" outlineLevel="0" collapsed="false">
      <c r="A19" s="21" t="s">
        <v>51</v>
      </c>
      <c r="B19" s="21" t="n">
        <f aca="false">COUNTIF('Break Log'!B2:B31,A19)</f>
        <v>0</v>
      </c>
      <c r="C19" s="21" t="n">
        <f aca="false">COUNTIFS('Break Log'!B2:B31,A19,'Break Log'!F2:F31,"Yes")</f>
        <v>0</v>
      </c>
      <c r="D19" s="22" t="str">
        <f aca="false">IF(B19=0,"",C19/B19)</f>
        <v/>
      </c>
    </row>
    <row r="20" customFormat="false" ht="15" hidden="false" customHeight="false" outlineLevel="0" collapsed="false">
      <c r="A20" s="21" t="s">
        <v>52</v>
      </c>
      <c r="B20" s="21" t="n">
        <f aca="false">COUNTIF('Break Log'!B2:B31,A20)</f>
        <v>0</v>
      </c>
      <c r="C20" s="21" t="n">
        <f aca="false">COUNTIFS('Break Log'!B2:B31,A20,'Break Log'!F2:F31,"Yes")</f>
        <v>0</v>
      </c>
      <c r="D20" s="22" t="str">
        <f aca="false">IF(B20=0,"",C20/B20)</f>
        <v/>
      </c>
    </row>
    <row r="21" customFormat="false" ht="15" hidden="false" customHeight="false" outlineLevel="0" collapsed="false">
      <c r="A21" s="21" t="s">
        <v>53</v>
      </c>
      <c r="B21" s="21" t="n">
        <f aca="false">COUNTIF('Break Log'!B2:B31,A21)</f>
        <v>0</v>
      </c>
      <c r="C21" s="21" t="n">
        <f aca="false">COUNTIFS('Break Log'!B2:B31,A21,'Break Log'!F2:F31,"Yes")</f>
        <v>0</v>
      </c>
      <c r="D21" s="22" t="str">
        <f aca="false">IF(B21=0,"",C21/B21)</f>
        <v/>
      </c>
    </row>
    <row r="22" customFormat="false" ht="15" hidden="false" customHeight="false" outlineLevel="0" collapsed="false">
      <c r="A22" s="21" t="s">
        <v>54</v>
      </c>
      <c r="B22" s="21" t="n">
        <f aca="false">COUNTIF('Break Log'!B2:B31,A22)</f>
        <v>0</v>
      </c>
      <c r="C22" s="21" t="n">
        <f aca="false">COUNTIFS('Break Log'!B2:B31,A22,'Break Log'!F2:F31,"Yes")</f>
        <v>0</v>
      </c>
      <c r="D22" s="22" t="str">
        <f aca="false">IF(B22=0,"",C22/B22)</f>
        <v/>
      </c>
    </row>
    <row r="24" customFormat="false" ht="15" hidden="false" customHeight="false" outlineLevel="0" collapsed="false">
      <c r="A24" s="23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8"/>
    <col collapsed="false" customWidth="true" hidden="false" outlineLevel="0" max="3" min="3" style="0" width="24"/>
    <col collapsed="false" customWidth="true" hidden="false" outlineLevel="0" max="4" min="4" style="0" width="16"/>
    <col collapsed="false" customWidth="true" hidden="false" outlineLevel="0" max="5" min="5" style="0" width="13"/>
    <col collapsed="false" customWidth="true" hidden="false" outlineLevel="0" max="6" min="6" style="0" width="10"/>
    <col collapsed="false" customWidth="true" hidden="false" outlineLevel="0" max="7" min="7" style="0" width="38"/>
    <col collapsed="false" customWidth="true" hidden="false" outlineLevel="0" max="8" min="8" style="0" width="36"/>
    <col collapsed="false" customWidth="true" hidden="false" outlineLevel="0" max="9" min="9" style="0" width="18"/>
    <col collapsed="false" customWidth="true" hidden="false" outlineLevel="0" max="10" min="10" style="0" width="10"/>
  </cols>
  <sheetData>
    <row r="1" customFormat="false" ht="48" hidden="false" customHeight="true" outlineLevel="0" collapsed="false">
      <c r="A1" s="8" t="s">
        <v>18</v>
      </c>
      <c r="B1" s="8" t="s">
        <v>19</v>
      </c>
      <c r="C1" s="8" t="s">
        <v>20</v>
      </c>
      <c r="D1" s="8" t="s">
        <v>21</v>
      </c>
      <c r="E1" s="8" t="s">
        <v>22</v>
      </c>
      <c r="F1" s="8" t="s">
        <v>23</v>
      </c>
      <c r="G1" s="8" t="s">
        <v>24</v>
      </c>
      <c r="H1" s="8" t="s">
        <v>25</v>
      </c>
      <c r="I1" s="8" t="s">
        <v>26</v>
      </c>
      <c r="J1" s="8" t="s">
        <v>27</v>
      </c>
      <c r="L1" s="24" t="s">
        <v>56</v>
      </c>
    </row>
    <row r="2" customFormat="false" ht="15" hidden="false" customHeight="false" outlineLevel="0" collapsed="false">
      <c r="A2" s="10" t="n">
        <v>1</v>
      </c>
      <c r="B2" s="25" t="s">
        <v>47</v>
      </c>
      <c r="C2" s="25" t="s">
        <v>57</v>
      </c>
      <c r="D2" s="25" t="s">
        <v>58</v>
      </c>
      <c r="E2" s="25" t="n">
        <v>61</v>
      </c>
      <c r="F2" s="12" t="str">
        <f aca="false">IF(OR(C2="",D2=""),"",IF(C2=D2,"No","Yes"))</f>
        <v>Yes</v>
      </c>
      <c r="G2" s="26" t="s">
        <v>59</v>
      </c>
      <c r="H2" s="26" t="s">
        <v>60</v>
      </c>
      <c r="I2" s="25" t="s">
        <v>57</v>
      </c>
      <c r="J2" s="12" t="str">
        <f aca="false">IF(OR(F2&lt;&gt;"Yes",I2=""),"",IF(I2=C2,"Yes","No"))</f>
        <v>Yes</v>
      </c>
    </row>
    <row r="3" customFormat="false" ht="15" hidden="false" customHeight="false" outlineLevel="0" collapsed="false">
      <c r="A3" s="10" t="n">
        <v>2</v>
      </c>
      <c r="B3" s="25" t="s">
        <v>47</v>
      </c>
      <c r="C3" s="25" t="s">
        <v>58</v>
      </c>
      <c r="D3" s="25" t="s">
        <v>58</v>
      </c>
      <c r="E3" s="25" t="n">
        <v>90</v>
      </c>
      <c r="F3" s="12" t="str">
        <f aca="false">IF(OR(C3="",D3=""),"",IF(C3=D3,"No","Yes"))</f>
        <v>No</v>
      </c>
      <c r="G3" s="26"/>
      <c r="H3" s="26"/>
      <c r="I3" s="25"/>
      <c r="J3" s="12" t="str">
        <f aca="false">IF(OR(F3&lt;&gt;"Yes",I3=""),"",IF(I3=C3,"Yes","No"))</f>
        <v/>
      </c>
    </row>
    <row r="4" customFormat="false" ht="15" hidden="false" customHeight="false" outlineLevel="0" collapsed="false">
      <c r="A4" s="10" t="n">
        <v>3</v>
      </c>
      <c r="B4" s="25" t="s">
        <v>48</v>
      </c>
      <c r="C4" s="25" t="s">
        <v>57</v>
      </c>
      <c r="D4" s="25" t="s">
        <v>57</v>
      </c>
      <c r="E4" s="25" t="n">
        <v>94</v>
      </c>
      <c r="F4" s="12" t="str">
        <f aca="false">IF(OR(C4="",D4=""),"",IF(C4=D4,"No","Yes"))</f>
        <v>No</v>
      </c>
      <c r="G4" s="26"/>
      <c r="H4" s="26"/>
      <c r="I4" s="25"/>
      <c r="J4" s="12" t="str">
        <f aca="false">IF(OR(F4&lt;&gt;"Yes",I4=""),"",IF(I4=C4,"Yes","No"))</f>
        <v/>
      </c>
    </row>
    <row r="5" customFormat="false" ht="15" hidden="false" customHeight="false" outlineLevel="0" collapsed="false">
      <c r="A5" s="10" t="n">
        <v>4</v>
      </c>
      <c r="B5" s="25" t="s">
        <v>48</v>
      </c>
      <c r="C5" s="25" t="s">
        <v>58</v>
      </c>
      <c r="D5" s="25" t="s">
        <v>58</v>
      </c>
      <c r="E5" s="25" t="n">
        <v>91</v>
      </c>
      <c r="F5" s="12" t="str">
        <f aca="false">IF(OR(C5="",D5=""),"",IF(C5=D5,"No","Yes"))</f>
        <v>No</v>
      </c>
      <c r="G5" s="26"/>
      <c r="H5" s="26"/>
      <c r="I5" s="25"/>
      <c r="J5" s="12" t="str">
        <f aca="false">IF(OR(F5&lt;&gt;"Yes",I5=""),"",IF(I5=C5,"Yes","No"))</f>
        <v/>
      </c>
    </row>
    <row r="6" customFormat="false" ht="15" hidden="false" customHeight="false" outlineLevel="0" collapsed="false">
      <c r="A6" s="10" t="n">
        <v>5</v>
      </c>
      <c r="B6" s="25" t="s">
        <v>49</v>
      </c>
      <c r="C6" s="25" t="s">
        <v>57</v>
      </c>
      <c r="D6" s="25" t="s">
        <v>57</v>
      </c>
      <c r="E6" s="25" t="n">
        <v>89</v>
      </c>
      <c r="F6" s="12" t="str">
        <f aca="false">IF(OR(C6="",D6=""),"",IF(C6=D6,"No","Yes"))</f>
        <v>No</v>
      </c>
      <c r="G6" s="26"/>
      <c r="H6" s="26"/>
      <c r="I6" s="25"/>
      <c r="J6" s="12" t="str">
        <f aca="false">IF(OR(F6&lt;&gt;"Yes",I6=""),"",IF(I6=C6,"Yes","No"))</f>
        <v/>
      </c>
    </row>
    <row r="7" customFormat="false" ht="15" hidden="false" customHeight="false" outlineLevel="0" collapsed="false">
      <c r="A7" s="10" t="n">
        <v>6</v>
      </c>
      <c r="B7" s="25" t="s">
        <v>49</v>
      </c>
      <c r="C7" s="25" t="s">
        <v>58</v>
      </c>
      <c r="D7" s="25" t="s">
        <v>61</v>
      </c>
      <c r="E7" s="25" t="n">
        <v>58</v>
      </c>
      <c r="F7" s="12" t="str">
        <f aca="false">IF(OR(C7="",D7=""),"",IF(C7=D7,"No","Yes"))</f>
        <v>Yes</v>
      </c>
      <c r="G7" s="26" t="s">
        <v>62</v>
      </c>
      <c r="H7" s="26" t="s">
        <v>63</v>
      </c>
      <c r="I7" s="25" t="s">
        <v>58</v>
      </c>
      <c r="J7" s="12" t="str">
        <f aca="false">IF(OR(F7&lt;&gt;"Yes",I7=""),"",IF(I7=C7,"Yes","No"))</f>
        <v>Yes</v>
      </c>
    </row>
    <row r="8" customFormat="false" ht="15" hidden="false" customHeight="false" outlineLevel="0" collapsed="false">
      <c r="A8" s="10" t="n">
        <v>7</v>
      </c>
      <c r="B8" s="25" t="s">
        <v>50</v>
      </c>
      <c r="C8" s="25" t="s">
        <v>57</v>
      </c>
      <c r="D8" s="25" t="s">
        <v>58</v>
      </c>
      <c r="E8" s="25" t="n">
        <v>66</v>
      </c>
      <c r="F8" s="12" t="str">
        <f aca="false">IF(OR(C8="",D8=""),"",IF(C8=D8,"No","Yes"))</f>
        <v>Yes</v>
      </c>
      <c r="G8" s="26" t="s">
        <v>64</v>
      </c>
      <c r="H8" s="26" t="s">
        <v>65</v>
      </c>
      <c r="I8" s="25" t="s">
        <v>57</v>
      </c>
      <c r="J8" s="12" t="str">
        <f aca="false">IF(OR(F8&lt;&gt;"Yes",I8=""),"",IF(I8=C8,"Yes","No"))</f>
        <v>Yes</v>
      </c>
    </row>
    <row r="9" customFormat="false" ht="15" hidden="false" customHeight="false" outlineLevel="0" collapsed="false">
      <c r="A9" s="10" t="n">
        <v>8</v>
      </c>
      <c r="B9" s="25" t="s">
        <v>50</v>
      </c>
      <c r="C9" s="25" t="s">
        <v>58</v>
      </c>
      <c r="D9" s="25" t="s">
        <v>57</v>
      </c>
      <c r="E9" s="25" t="n">
        <v>55</v>
      </c>
      <c r="F9" s="12" t="str">
        <f aca="false">IF(OR(C9="",D9=""),"",IF(C9=D9,"No","Yes"))</f>
        <v>Yes</v>
      </c>
      <c r="G9" s="26" t="s">
        <v>66</v>
      </c>
      <c r="H9" s="26" t="s">
        <v>65</v>
      </c>
      <c r="I9" s="25" t="s">
        <v>58</v>
      </c>
      <c r="J9" s="12" t="str">
        <f aca="false">IF(OR(F9&lt;&gt;"Yes",I9=""),"",IF(I9=C9,"Yes","No"))</f>
        <v>Yes</v>
      </c>
    </row>
    <row r="10" customFormat="false" ht="15" hidden="false" customHeight="false" outlineLevel="0" collapsed="false">
      <c r="A10" s="10" t="n">
        <v>9</v>
      </c>
      <c r="B10" s="25" t="s">
        <v>50</v>
      </c>
      <c r="C10" s="25" t="s">
        <v>61</v>
      </c>
      <c r="D10" s="25" t="s">
        <v>61</v>
      </c>
      <c r="E10" s="25" t="n">
        <v>93</v>
      </c>
      <c r="F10" s="12" t="str">
        <f aca="false">IF(OR(C10="",D10=""),"",IF(C10=D10,"No","Yes"))</f>
        <v>No</v>
      </c>
      <c r="G10" s="26"/>
      <c r="H10" s="26"/>
      <c r="I10" s="25"/>
      <c r="J10" s="12" t="str">
        <f aca="false">IF(OR(F10&lt;&gt;"Yes",I10=""),"",IF(I10=C10,"Yes","No"))</f>
        <v/>
      </c>
    </row>
    <row r="11" customFormat="false" ht="15" hidden="false" customHeight="false" outlineLevel="0" collapsed="false">
      <c r="A11" s="10" t="n">
        <v>10</v>
      </c>
      <c r="B11" s="25" t="s">
        <v>51</v>
      </c>
      <c r="C11" s="25" t="s">
        <v>57</v>
      </c>
      <c r="D11" s="25" t="s">
        <v>58</v>
      </c>
      <c r="E11" s="25" t="n">
        <v>70</v>
      </c>
      <c r="F11" s="12" t="str">
        <f aca="false">IF(OR(C11="",D11=""),"",IF(C11=D11,"No","Yes"))</f>
        <v>Yes</v>
      </c>
      <c r="G11" s="26" t="s">
        <v>67</v>
      </c>
      <c r="H11" s="26" t="s">
        <v>68</v>
      </c>
      <c r="I11" s="25" t="s">
        <v>58</v>
      </c>
      <c r="J11" s="12" t="str">
        <f aca="false">IF(OR(F11&lt;&gt;"Yes",I11=""),"",IF(I11=C11,"Yes","No"))</f>
        <v>No</v>
      </c>
    </row>
    <row r="12" customFormat="false" ht="15" hidden="false" customHeight="false" outlineLevel="0" collapsed="false">
      <c r="A12" s="10" t="n">
        <v>11</v>
      </c>
      <c r="B12" s="25" t="s">
        <v>51</v>
      </c>
      <c r="C12" s="25" t="s">
        <v>58</v>
      </c>
      <c r="D12" s="25" t="s">
        <v>58</v>
      </c>
      <c r="E12" s="25" t="n">
        <v>84</v>
      </c>
      <c r="F12" s="12" t="str">
        <f aca="false">IF(OR(C12="",D12=""),"",IF(C12=D12,"No","Yes"))</f>
        <v>No</v>
      </c>
      <c r="G12" s="26"/>
      <c r="H12" s="26"/>
      <c r="I12" s="25"/>
      <c r="J12" s="12" t="str">
        <f aca="false">IF(OR(F12&lt;&gt;"Yes",I12=""),"",IF(I12=C12,"Yes","No"))</f>
        <v/>
      </c>
    </row>
    <row r="13" customFormat="false" ht="15" hidden="false" customHeight="false" outlineLevel="0" collapsed="false">
      <c r="A13" s="10" t="n">
        <v>12</v>
      </c>
      <c r="B13" s="25" t="s">
        <v>52</v>
      </c>
      <c r="C13" s="25" t="s">
        <v>61</v>
      </c>
      <c r="D13" s="25" t="s">
        <v>57</v>
      </c>
      <c r="E13" s="25" t="n">
        <v>88</v>
      </c>
      <c r="F13" s="12" t="str">
        <f aca="false">IF(OR(C13="",D13=""),"",IF(C13=D13,"No","Yes"))</f>
        <v>Yes</v>
      </c>
      <c r="G13" s="26" t="s">
        <v>69</v>
      </c>
      <c r="H13" s="26" t="s">
        <v>70</v>
      </c>
      <c r="I13" s="25" t="s">
        <v>61</v>
      </c>
      <c r="J13" s="12" t="str">
        <f aca="false">IF(OR(F13&lt;&gt;"Yes",I13=""),"",IF(I13=C13,"Yes","No"))</f>
        <v>Yes</v>
      </c>
    </row>
    <row r="14" customFormat="false" ht="15" hidden="false" customHeight="false" outlineLevel="0" collapsed="false">
      <c r="A14" s="10" t="n">
        <v>13</v>
      </c>
      <c r="B14" s="25" t="s">
        <v>52</v>
      </c>
      <c r="C14" s="25" t="s">
        <v>61</v>
      </c>
      <c r="D14" s="25" t="s">
        <v>58</v>
      </c>
      <c r="E14" s="25" t="n">
        <v>79</v>
      </c>
      <c r="F14" s="12" t="str">
        <f aca="false">IF(OR(C14="",D14=""),"",IF(C14=D14,"No","Yes"))</f>
        <v>Yes</v>
      </c>
      <c r="G14" s="26" t="s">
        <v>71</v>
      </c>
      <c r="H14" s="26" t="s">
        <v>72</v>
      </c>
      <c r="I14" s="25" t="s">
        <v>61</v>
      </c>
      <c r="J14" s="12" t="str">
        <f aca="false">IF(OR(F14&lt;&gt;"Yes",I14=""),"",IF(I14=C14,"Yes","No"))</f>
        <v>Yes</v>
      </c>
    </row>
    <row r="15" customFormat="false" ht="15" hidden="false" customHeight="false" outlineLevel="0" collapsed="false">
      <c r="A15" s="10" t="n">
        <v>14</v>
      </c>
      <c r="B15" s="25" t="s">
        <v>53</v>
      </c>
      <c r="C15" s="25" t="s">
        <v>61</v>
      </c>
      <c r="D15" s="25" t="s">
        <v>58</v>
      </c>
      <c r="E15" s="25" t="n">
        <v>64</v>
      </c>
      <c r="F15" s="12" t="str">
        <f aca="false">IF(OR(C15="",D15=""),"",IF(C15=D15,"No","Yes"))</f>
        <v>Yes</v>
      </c>
      <c r="G15" s="26" t="s">
        <v>73</v>
      </c>
      <c r="H15" s="26" t="s">
        <v>74</v>
      </c>
      <c r="I15" s="25" t="s">
        <v>61</v>
      </c>
      <c r="J15" s="12" t="str">
        <f aca="false">IF(OR(F15&lt;&gt;"Yes",I15=""),"",IF(I15=C15,"Yes","No"))</f>
        <v>Yes</v>
      </c>
    </row>
    <row r="16" customFormat="false" ht="15" hidden="false" customHeight="false" outlineLevel="0" collapsed="false">
      <c r="A16" s="10" t="n">
        <v>15</v>
      </c>
      <c r="B16" s="25" t="s">
        <v>53</v>
      </c>
      <c r="C16" s="25" t="s">
        <v>61</v>
      </c>
      <c r="D16" s="25" t="s">
        <v>61</v>
      </c>
      <c r="E16" s="25" t="n">
        <v>71</v>
      </c>
      <c r="F16" s="12" t="str">
        <f aca="false">IF(OR(C16="",D16=""),"",IF(C16=D16,"No","Yes"))</f>
        <v>No</v>
      </c>
      <c r="G16" s="26"/>
      <c r="H16" s="26"/>
      <c r="I16" s="25"/>
      <c r="J16" s="12" t="str">
        <f aca="false">IF(OR(F16&lt;&gt;"Yes",I16=""),"",IF(I16=C16,"Yes","No"))</f>
        <v/>
      </c>
    </row>
    <row r="17" customFormat="false" ht="15" hidden="false" customHeight="false" outlineLevel="0" collapsed="false">
      <c r="A17" s="10" t="n">
        <v>16</v>
      </c>
      <c r="B17" s="25" t="s">
        <v>47</v>
      </c>
      <c r="C17" s="25" t="s">
        <v>61</v>
      </c>
      <c r="D17" s="25" t="s">
        <v>57</v>
      </c>
      <c r="E17" s="25" t="n">
        <v>52</v>
      </c>
      <c r="F17" s="12" t="str">
        <f aca="false">IF(OR(C17="",D17=""),"",IF(C17=D17,"No","Yes"))</f>
        <v>Yes</v>
      </c>
      <c r="G17" s="26" t="s">
        <v>75</v>
      </c>
      <c r="H17" s="26" t="s">
        <v>76</v>
      </c>
      <c r="I17" s="25" t="s">
        <v>61</v>
      </c>
      <c r="J17" s="12" t="str">
        <f aca="false">IF(OR(F17&lt;&gt;"Yes",I17=""),"",IF(I17=C17,"Yes","No"))</f>
        <v>Yes</v>
      </c>
    </row>
    <row r="18" customFormat="false" ht="15" hidden="false" customHeight="false" outlineLevel="0" collapsed="false">
      <c r="A18" s="10" t="n">
        <v>17</v>
      </c>
      <c r="B18" s="25"/>
      <c r="C18" s="25"/>
      <c r="D18" s="25"/>
      <c r="E18" s="25"/>
      <c r="F18" s="12" t="str">
        <f aca="false">IF(OR(C18="",D18=""),"",IF(C18=D18,"No","Yes"))</f>
        <v/>
      </c>
      <c r="G18" s="26"/>
      <c r="H18" s="26"/>
      <c r="I18" s="25"/>
      <c r="J18" s="12" t="str">
        <f aca="false">IF(OR(F18&lt;&gt;"Yes",I18=""),"",IF(I18=C18,"Yes","No"))</f>
        <v/>
      </c>
    </row>
    <row r="19" customFormat="false" ht="15" hidden="false" customHeight="false" outlineLevel="0" collapsed="false">
      <c r="A19" s="10" t="n">
        <v>18</v>
      </c>
      <c r="B19" s="25"/>
      <c r="C19" s="25"/>
      <c r="D19" s="25"/>
      <c r="E19" s="25"/>
      <c r="F19" s="12" t="str">
        <f aca="false">IF(OR(C19="",D19=""),"",IF(C19=D19,"No","Yes"))</f>
        <v/>
      </c>
      <c r="G19" s="26"/>
      <c r="H19" s="26"/>
      <c r="I19" s="25"/>
      <c r="J19" s="12" t="str">
        <f aca="false">IF(OR(F19&lt;&gt;"Yes",I19=""),"",IF(I19=C19,"Yes","No"))</f>
        <v/>
      </c>
    </row>
    <row r="20" customFormat="false" ht="15" hidden="false" customHeight="false" outlineLevel="0" collapsed="false">
      <c r="A20" s="10" t="n">
        <v>19</v>
      </c>
      <c r="B20" s="25"/>
      <c r="C20" s="25"/>
      <c r="D20" s="25"/>
      <c r="E20" s="25"/>
      <c r="F20" s="12" t="str">
        <f aca="false">IF(OR(C20="",D20=""),"",IF(C20=D20,"No","Yes"))</f>
        <v/>
      </c>
      <c r="G20" s="26"/>
      <c r="H20" s="26"/>
      <c r="I20" s="25"/>
      <c r="J20" s="12" t="str">
        <f aca="false">IF(OR(F20&lt;&gt;"Yes",I20=""),"",IF(I20=C20,"Yes","No"))</f>
        <v/>
      </c>
    </row>
    <row r="21" customFormat="false" ht="15" hidden="false" customHeight="false" outlineLevel="0" collapsed="false">
      <c r="A21" s="10" t="n">
        <v>20</v>
      </c>
      <c r="B21" s="25"/>
      <c r="C21" s="25"/>
      <c r="D21" s="25"/>
      <c r="E21" s="25"/>
      <c r="F21" s="12" t="str">
        <f aca="false">IF(OR(C21="",D21=""),"",IF(C21=D21,"No","Yes"))</f>
        <v/>
      </c>
      <c r="G21" s="26"/>
      <c r="H21" s="26"/>
      <c r="I21" s="25"/>
      <c r="J21" s="12" t="str">
        <f aca="false">IF(OR(F21&lt;&gt;"Yes",I21=""),"",IF(I21=C21,"Yes","No"))</f>
        <v/>
      </c>
    </row>
    <row r="22" customFormat="false" ht="15" hidden="false" customHeight="false" outlineLevel="0" collapsed="false">
      <c r="A22" s="10" t="n">
        <v>21</v>
      </c>
      <c r="B22" s="25"/>
      <c r="C22" s="25"/>
      <c r="D22" s="25"/>
      <c r="E22" s="25"/>
      <c r="F22" s="12" t="str">
        <f aca="false">IF(OR(C22="",D22=""),"",IF(C22=D22,"No","Yes"))</f>
        <v/>
      </c>
      <c r="G22" s="26"/>
      <c r="H22" s="26"/>
      <c r="I22" s="25"/>
      <c r="J22" s="12" t="str">
        <f aca="false">IF(OR(F22&lt;&gt;"Yes",I22=""),"",IF(I22=C22,"Yes","No"))</f>
        <v/>
      </c>
    </row>
    <row r="23" customFormat="false" ht="15" hidden="false" customHeight="false" outlineLevel="0" collapsed="false">
      <c r="A23" s="10" t="n">
        <v>22</v>
      </c>
      <c r="B23" s="25"/>
      <c r="C23" s="25"/>
      <c r="D23" s="25"/>
      <c r="E23" s="25"/>
      <c r="F23" s="12" t="str">
        <f aca="false">IF(OR(C23="",D23=""),"",IF(C23=D23,"No","Yes"))</f>
        <v/>
      </c>
      <c r="G23" s="26"/>
      <c r="H23" s="26"/>
      <c r="I23" s="25"/>
      <c r="J23" s="12" t="str">
        <f aca="false">IF(OR(F23&lt;&gt;"Yes",I23=""),"",IF(I23=C23,"Yes","No"))</f>
        <v/>
      </c>
    </row>
    <row r="24" customFormat="false" ht="15" hidden="false" customHeight="false" outlineLevel="0" collapsed="false">
      <c r="A24" s="10" t="n">
        <v>23</v>
      </c>
      <c r="B24" s="25"/>
      <c r="C24" s="25"/>
      <c r="D24" s="25"/>
      <c r="E24" s="25"/>
      <c r="F24" s="12" t="str">
        <f aca="false">IF(OR(C24="",D24=""),"",IF(C24=D24,"No","Yes"))</f>
        <v/>
      </c>
      <c r="G24" s="26"/>
      <c r="H24" s="26"/>
      <c r="I24" s="25"/>
      <c r="J24" s="12" t="str">
        <f aca="false">IF(OR(F24&lt;&gt;"Yes",I24=""),"",IF(I24=C24,"Yes","No"))</f>
        <v/>
      </c>
    </row>
    <row r="25" customFormat="false" ht="15" hidden="false" customHeight="false" outlineLevel="0" collapsed="false">
      <c r="A25" s="10" t="n">
        <v>24</v>
      </c>
      <c r="B25" s="25"/>
      <c r="C25" s="25"/>
      <c r="D25" s="25"/>
      <c r="E25" s="25"/>
      <c r="F25" s="12" t="str">
        <f aca="false">IF(OR(C25="",D25=""),"",IF(C25=D25,"No","Yes"))</f>
        <v/>
      </c>
      <c r="G25" s="26"/>
      <c r="H25" s="26"/>
      <c r="I25" s="25"/>
      <c r="J25" s="12" t="str">
        <f aca="false">IF(OR(F25&lt;&gt;"Yes",I25=""),"",IF(I25=C25,"Yes","No"))</f>
        <v/>
      </c>
    </row>
    <row r="26" customFormat="false" ht="15" hidden="false" customHeight="false" outlineLevel="0" collapsed="false">
      <c r="A26" s="10" t="n">
        <v>25</v>
      </c>
      <c r="B26" s="25"/>
      <c r="C26" s="25"/>
      <c r="D26" s="25"/>
      <c r="E26" s="25"/>
      <c r="F26" s="12" t="str">
        <f aca="false">IF(OR(C26="",D26=""),"",IF(C26=D26,"No","Yes"))</f>
        <v/>
      </c>
      <c r="G26" s="26"/>
      <c r="H26" s="26"/>
      <c r="I26" s="25"/>
      <c r="J26" s="12" t="str">
        <f aca="false">IF(OR(F26&lt;&gt;"Yes",I26=""),"",IF(I26=C26,"Yes","No"))</f>
        <v/>
      </c>
    </row>
    <row r="27" customFormat="false" ht="15" hidden="false" customHeight="false" outlineLevel="0" collapsed="false">
      <c r="A27" s="10" t="n">
        <v>26</v>
      </c>
      <c r="B27" s="25"/>
      <c r="C27" s="25"/>
      <c r="D27" s="25"/>
      <c r="E27" s="25"/>
      <c r="F27" s="12" t="str">
        <f aca="false">IF(OR(C27="",D27=""),"",IF(C27=D27,"No","Yes"))</f>
        <v/>
      </c>
      <c r="G27" s="26"/>
      <c r="H27" s="26"/>
      <c r="I27" s="25"/>
      <c r="J27" s="12" t="str">
        <f aca="false">IF(OR(F27&lt;&gt;"Yes",I27=""),"",IF(I27=C27,"Yes","No"))</f>
        <v/>
      </c>
    </row>
    <row r="28" customFormat="false" ht="15" hidden="false" customHeight="false" outlineLevel="0" collapsed="false">
      <c r="A28" s="10" t="n">
        <v>27</v>
      </c>
      <c r="B28" s="25"/>
      <c r="C28" s="25"/>
      <c r="D28" s="25"/>
      <c r="E28" s="25"/>
      <c r="F28" s="12" t="str">
        <f aca="false">IF(OR(C28="",D28=""),"",IF(C28=D28,"No","Yes"))</f>
        <v/>
      </c>
      <c r="G28" s="26"/>
      <c r="H28" s="26"/>
      <c r="I28" s="25"/>
      <c r="J28" s="12" t="str">
        <f aca="false">IF(OR(F28&lt;&gt;"Yes",I28=""),"",IF(I28=C28,"Yes","No"))</f>
        <v/>
      </c>
    </row>
    <row r="29" customFormat="false" ht="15" hidden="false" customHeight="false" outlineLevel="0" collapsed="false">
      <c r="A29" s="10" t="n">
        <v>28</v>
      </c>
      <c r="B29" s="25"/>
      <c r="C29" s="25"/>
      <c r="D29" s="25"/>
      <c r="E29" s="25"/>
      <c r="F29" s="12" t="str">
        <f aca="false">IF(OR(C29="",D29=""),"",IF(C29=D29,"No","Yes"))</f>
        <v/>
      </c>
      <c r="G29" s="26"/>
      <c r="H29" s="26"/>
      <c r="I29" s="25"/>
      <c r="J29" s="12" t="str">
        <f aca="false">IF(OR(F29&lt;&gt;"Yes",I29=""),"",IF(I29=C29,"Yes","No"))</f>
        <v/>
      </c>
    </row>
    <row r="30" customFormat="false" ht="15" hidden="false" customHeight="false" outlineLevel="0" collapsed="false">
      <c r="A30" s="10" t="n">
        <v>29</v>
      </c>
      <c r="B30" s="25"/>
      <c r="C30" s="25"/>
      <c r="D30" s="25"/>
      <c r="E30" s="25"/>
      <c r="F30" s="12" t="str">
        <f aca="false">IF(OR(C30="",D30=""),"",IF(C30=D30,"No","Yes"))</f>
        <v/>
      </c>
      <c r="G30" s="26"/>
      <c r="H30" s="26"/>
      <c r="I30" s="25"/>
      <c r="J30" s="12" t="str">
        <f aca="false">IF(OR(F30&lt;&gt;"Yes",I30=""),"",IF(I30=C30,"Yes","No"))</f>
        <v/>
      </c>
    </row>
    <row r="31" customFormat="false" ht="15" hidden="false" customHeight="false" outlineLevel="0" collapsed="false">
      <c r="A31" s="10" t="n">
        <v>30</v>
      </c>
      <c r="B31" s="25"/>
      <c r="C31" s="25"/>
      <c r="D31" s="25"/>
      <c r="E31" s="25"/>
      <c r="F31" s="12" t="str">
        <f aca="false">IF(OR(C31="",D31=""),"",IF(C31=D31,"No","Yes"))</f>
        <v/>
      </c>
      <c r="G31" s="26"/>
      <c r="H31" s="26"/>
      <c r="I31" s="25"/>
      <c r="J31" s="12" t="str">
        <f aca="false">IF(OR(F31&lt;&gt;"Yes",I31=""),"",IF(I31=C31,"Yes","No"))</f>
        <v/>
      </c>
    </row>
  </sheetData>
  <dataValidations count="1">
    <dataValidation allowBlank="true" errorStyle="stop" operator="between" showDropDown="false" showErrorMessage="false" showInputMessage="false" sqref="B2:B31" type="list">
      <formula1>"Lighting,Angle,Distance,Background,Partly hidden,Lookalike object,Something new,Other"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4"/>
    <col collapsed="false" customWidth="true" hidden="false" outlineLevel="0" max="5" min="5" style="0" width="50"/>
  </cols>
  <sheetData>
    <row r="1" customFormat="false" ht="16.15" hidden="false" customHeight="false" outlineLevel="0" collapsed="false">
      <c r="A1" s="14" t="s">
        <v>77</v>
      </c>
    </row>
    <row r="3" customFormat="false" ht="15" hidden="false" customHeight="false" outlineLevel="0" collapsed="false">
      <c r="A3" s="8" t="s">
        <v>30</v>
      </c>
      <c r="B3" s="8" t="s">
        <v>31</v>
      </c>
      <c r="C3" s="8"/>
      <c r="D3" s="8"/>
      <c r="E3" s="8" t="s">
        <v>32</v>
      </c>
    </row>
    <row r="4" customFormat="false" ht="15" hidden="false" customHeight="false" outlineLevel="0" collapsed="false">
      <c r="A4" s="15" t="s">
        <v>33</v>
      </c>
      <c r="B4" s="16" t="n">
        <f aca="false">COUNTA('Example Break Log'!C2:C31)</f>
        <v>16</v>
      </c>
      <c r="E4" s="17" t="s">
        <v>34</v>
      </c>
    </row>
    <row r="5" customFormat="false" ht="15" hidden="false" customHeight="false" outlineLevel="0" collapsed="false">
      <c r="A5" s="15" t="s">
        <v>35</v>
      </c>
      <c r="B5" s="16" t="n">
        <f aca="false">COUNTIF('Example Break Log'!F2:F31,"Yes")</f>
        <v>9</v>
      </c>
      <c r="E5" s="17"/>
    </row>
    <row r="6" customFormat="false" ht="15" hidden="false" customHeight="false" outlineLevel="0" collapsed="false">
      <c r="A6" s="15" t="s">
        <v>36</v>
      </c>
      <c r="B6" s="18" t="n">
        <f aca="false">IFERROR(B5/B4,"")</f>
        <v>0.5625</v>
      </c>
      <c r="E6" s="17" t="s">
        <v>37</v>
      </c>
    </row>
    <row r="7" customFormat="false" ht="15" hidden="false" customHeight="false" outlineLevel="0" collapsed="false">
      <c r="A7" s="15" t="s">
        <v>38</v>
      </c>
      <c r="B7" s="19" t="n">
        <f aca="false">IFERROR(AVERAGEIFS('Example Break Log'!E2:E31,'Example Break Log'!F2:F31,"Yes"),"")</f>
        <v>65.8888888888889</v>
      </c>
      <c r="E7" s="17" t="s">
        <v>39</v>
      </c>
    </row>
    <row r="8" customFormat="false" ht="15" hidden="false" customHeight="false" outlineLevel="0" collapsed="false">
      <c r="A8" s="15" t="s">
        <v>40</v>
      </c>
      <c r="B8" s="19" t="n">
        <f aca="false">IFERROR(AVERAGEIFS('Example Break Log'!E2:E31,'Example Break Log'!F2:F31,"No"),"")</f>
        <v>87.4285714285714</v>
      </c>
      <c r="E8" s="17"/>
    </row>
    <row r="9" customFormat="false" ht="15" hidden="false" customHeight="false" outlineLevel="0" collapsed="false">
      <c r="A9" s="15" t="s">
        <v>41</v>
      </c>
      <c r="B9" s="16" t="n">
        <f aca="false">COUNTIF('Example Break Log'!J2:J31,"Yes")+COUNTIF('Example Break Log'!J2:J31,"No")</f>
        <v>9</v>
      </c>
      <c r="E9" s="17" t="s">
        <v>42</v>
      </c>
    </row>
    <row r="10" customFormat="false" ht="15" hidden="false" customHeight="false" outlineLevel="0" collapsed="false">
      <c r="A10" s="15" t="s">
        <v>43</v>
      </c>
      <c r="B10" s="16" t="n">
        <f aca="false">COUNTIF('Example Break Log'!J2:J31,"Yes")</f>
        <v>8</v>
      </c>
      <c r="E10" s="17"/>
    </row>
    <row r="13" customFormat="false" ht="15" hidden="false" customHeight="false" outlineLevel="0" collapsed="false">
      <c r="A13" s="20" t="s">
        <v>44</v>
      </c>
    </row>
    <row r="14" customFormat="false" ht="15" hidden="false" customHeight="false" outlineLevel="0" collapsed="false">
      <c r="A14" s="8" t="s">
        <v>19</v>
      </c>
      <c r="B14" s="8" t="s">
        <v>45</v>
      </c>
      <c r="C14" s="8" t="s">
        <v>46</v>
      </c>
      <c r="D14" s="8" t="s">
        <v>36</v>
      </c>
    </row>
    <row r="15" customFormat="false" ht="15" hidden="false" customHeight="false" outlineLevel="0" collapsed="false">
      <c r="A15" s="21" t="s">
        <v>47</v>
      </c>
      <c r="B15" s="21" t="n">
        <f aca="false">COUNTIF('Example Break Log'!B2:B31,A15)</f>
        <v>3</v>
      </c>
      <c r="C15" s="21" t="n">
        <f aca="false">COUNTIFS('Example Break Log'!B2:B31,A15,'Example Break Log'!F2:F31,"Yes")</f>
        <v>2</v>
      </c>
      <c r="D15" s="22" t="n">
        <f aca="false">IF(B15=0,"",C15/B15)</f>
        <v>0.666666666666667</v>
      </c>
    </row>
    <row r="16" customFormat="false" ht="15" hidden="false" customHeight="false" outlineLevel="0" collapsed="false">
      <c r="A16" s="21" t="s">
        <v>48</v>
      </c>
      <c r="B16" s="21" t="n">
        <f aca="false">COUNTIF('Example Break Log'!B2:B31,A16)</f>
        <v>2</v>
      </c>
      <c r="C16" s="21" t="n">
        <f aca="false">COUNTIFS('Example Break Log'!B2:B31,A16,'Example Break Log'!F2:F31,"Yes")</f>
        <v>0</v>
      </c>
      <c r="D16" s="22" t="n">
        <f aca="false">IF(B16=0,"",C16/B16)</f>
        <v>0</v>
      </c>
    </row>
    <row r="17" customFormat="false" ht="15" hidden="false" customHeight="false" outlineLevel="0" collapsed="false">
      <c r="A17" s="21" t="s">
        <v>49</v>
      </c>
      <c r="B17" s="21" t="n">
        <f aca="false">COUNTIF('Example Break Log'!B2:B31,A17)</f>
        <v>2</v>
      </c>
      <c r="C17" s="21" t="n">
        <f aca="false">COUNTIFS('Example Break Log'!B2:B31,A17,'Example Break Log'!F2:F31,"Yes")</f>
        <v>1</v>
      </c>
      <c r="D17" s="22" t="n">
        <f aca="false">IF(B17=0,"",C17/B17)</f>
        <v>0.5</v>
      </c>
    </row>
    <row r="18" customFormat="false" ht="15" hidden="false" customHeight="false" outlineLevel="0" collapsed="false">
      <c r="A18" s="21" t="s">
        <v>50</v>
      </c>
      <c r="B18" s="21" t="n">
        <f aca="false">COUNTIF('Example Break Log'!B2:B31,A18)</f>
        <v>3</v>
      </c>
      <c r="C18" s="21" t="n">
        <f aca="false">COUNTIFS('Example Break Log'!B2:B31,A18,'Example Break Log'!F2:F31,"Yes")</f>
        <v>2</v>
      </c>
      <c r="D18" s="22" t="n">
        <f aca="false">IF(B18=0,"",C18/B18)</f>
        <v>0.666666666666667</v>
      </c>
    </row>
    <row r="19" customFormat="false" ht="15" hidden="false" customHeight="false" outlineLevel="0" collapsed="false">
      <c r="A19" s="21" t="s">
        <v>51</v>
      </c>
      <c r="B19" s="21" t="n">
        <f aca="false">COUNTIF('Example Break Log'!B2:B31,A19)</f>
        <v>2</v>
      </c>
      <c r="C19" s="21" t="n">
        <f aca="false">COUNTIFS('Example Break Log'!B2:B31,A19,'Example Break Log'!F2:F31,"Yes")</f>
        <v>1</v>
      </c>
      <c r="D19" s="22" t="n">
        <f aca="false">IF(B19=0,"",C19/B19)</f>
        <v>0.5</v>
      </c>
    </row>
    <row r="20" customFormat="false" ht="15" hidden="false" customHeight="false" outlineLevel="0" collapsed="false">
      <c r="A20" s="21" t="s">
        <v>52</v>
      </c>
      <c r="B20" s="21" t="n">
        <f aca="false">COUNTIF('Example Break Log'!B2:B31,A20)</f>
        <v>2</v>
      </c>
      <c r="C20" s="21" t="n">
        <f aca="false">COUNTIFS('Example Break Log'!B2:B31,A20,'Example Break Log'!F2:F31,"Yes")</f>
        <v>2</v>
      </c>
      <c r="D20" s="22" t="n">
        <f aca="false">IF(B20=0,"",C20/B20)</f>
        <v>1</v>
      </c>
    </row>
    <row r="21" customFormat="false" ht="15" hidden="false" customHeight="false" outlineLevel="0" collapsed="false">
      <c r="A21" s="21" t="s">
        <v>53</v>
      </c>
      <c r="B21" s="21" t="n">
        <f aca="false">COUNTIF('Example Break Log'!B2:B31,A21)</f>
        <v>2</v>
      </c>
      <c r="C21" s="21" t="n">
        <f aca="false">COUNTIFS('Example Break Log'!B2:B31,A21,'Example Break Log'!F2:F31,"Yes")</f>
        <v>1</v>
      </c>
      <c r="D21" s="22" t="n">
        <f aca="false">IF(B21=0,"",C21/B21)</f>
        <v>0.5</v>
      </c>
    </row>
    <row r="22" customFormat="false" ht="15" hidden="false" customHeight="false" outlineLevel="0" collapsed="false">
      <c r="A22" s="21" t="s">
        <v>54</v>
      </c>
      <c r="B22" s="21" t="n">
        <f aca="false">COUNTIF('Example Break Log'!B2:B31,A22)</f>
        <v>0</v>
      </c>
      <c r="C22" s="21" t="n">
        <f aca="false">COUNTIFS('Example Break Log'!B2:B31,A22,'Example Break Log'!F2:F31,"Yes")</f>
        <v>0</v>
      </c>
      <c r="D22" s="22" t="str">
        <f aca="false">IF(B22=0,"",C22/B22)</f>
        <v/>
      </c>
    </row>
    <row r="24" customFormat="false" ht="15" hidden="false" customHeight="false" outlineLevel="0" collapsed="false">
      <c r="A24" s="23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2026-10-08T16:10:19Z</dcterms:created>
  <dc:creator>openpyxl</dc:creator>
  <dc:description/>
  <dc:language>en-US</dc:language>
  <cp:lastModifiedBy/>
  <dcterms:modified xsi:type="dcterms:W3CDTF">2026-10-08T16:10:23Z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