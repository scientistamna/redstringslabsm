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History" sheetId="2" state="visible" r:id="rId4"/>
    <sheet name="Applicants" sheetId="3" state="visible" r:id="rId5"/>
    <sheet name="Results" sheetId="4" state="visible" r:id="rId6"/>
    <sheet name="Your Turn" sheetId="5" state="visible" r:id="rId7"/>
    <sheet name="Answer Key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<sst xmlns="http://schemas.openxmlformats.org/spreadsheetml/2006/main" count="998" uniqueCount="91">
  <si>
    <t xml:space="preserve">RED STRINGS LAB · CASE 12 · The Biased Hiring Bot — Starter Sheet</t>
  </si>
  <si>
    <t xml:space="preserve">Every dataset is hiding something.</t>
  </si>
  <si>
    <t xml:space="preserve">⚠ ALL data here is MADE UP. An imaginary cafe chain, imaginary applicants, imaginary 'Area A' and 'Area B'. No real people, places or companies.</t>
  </si>
  <si>
    <t xml:space="preserve">THE STORY: In the made-up past, a cafe's managers hired people with the SAME skills at very different rates depending on their area. A 'bot' now learns from those past decisions.</t>
  </si>
  <si>
    <t xml:space="preserve">THREE BOTS, all built with plain formulas that look up what happened to similar past applicants:</t>
  </si>
  <si>
    <t xml:space="preserve">• Bot 1 looks at skill band AND area.</t>
  </si>
  <si>
    <t xml:space="preserve">• Bot 2 is NOT shown area, but is shown commute time. (Area and commute time are linked in this made-up town.)</t>
  </si>
  <si>
    <t xml:space="preserve">• Bot 3 looks at skill band only.</t>
  </si>
  <si>
    <t xml:space="preserve">A bot 'recommends' an applicant when most similar past applicants were hired (50% or more).</t>
  </si>
  <si>
    <t xml:space="preserve">TABS</t>
  </si>
  <si>
    <t xml:space="preserve">• History — 400 past applicants and the (biased) decisions made about them.  • Applicants — 100 new applicants and what each bot says.</t>
  </si>
  <si>
    <t xml:space="preserve">• Results — recommendation rates by area, with a chart.  • Your Turn — a bias audit.  • Answer Key — the numbers behind the video.</t>
  </si>
  <si>
    <t xml:space="preserve">MISSION</t>
  </si>
  <si>
    <t xml:space="preserve">1. Find the numbers that show the skills of Area A and Area B applicants are about the same.</t>
  </si>
  <si>
    <t xml:space="preserve">2. Find which bot treats the two areas most differently, and explain why Bot 2 still does it without seeing the area.</t>
  </si>
  <si>
    <t xml:space="preserve">3. Fill in the bias audit on 'Your Turn' for ANY system you can think of (a quiz app, a school sorting tool, a recommendation feed).</t>
  </si>
  <si>
    <t xml:space="preserve">4. Never use real people's data for this. Made-up only.</t>
  </si>
  <si>
    <t xml:space="preserve">Not affiliated with any company or tool shown. Free to use for learning. Terms checked: [add date].</t>
  </si>
  <si>
    <t xml:space="preserve">Applicant</t>
  </si>
  <si>
    <t xml:space="preserve">Skill score (practical test, 0–100)</t>
  </si>
  <si>
    <t xml:space="preserve">Area</t>
  </si>
  <si>
    <t xml:space="preserve">Commute (minutes)</t>
  </si>
  <si>
    <t xml:space="preserve">Skill band</t>
  </si>
  <si>
    <t xml:space="preserve">Commute band</t>
  </si>
  <si>
    <t xml:space="preserve">Past decision</t>
  </si>
  <si>
    <t xml:space="preserve">Hired (1/0)</t>
  </si>
  <si>
    <t xml:space="preserve">Made-up past hiring decisions. Blue = typed-in inputs. Skill band: Low &lt;50, Mid 50–69, High 70+. Commute band: Short &lt;24 min, Long 24+ min.</t>
  </si>
  <si>
    <t xml:space="preserve">B</t>
  </si>
  <si>
    <t xml:space="preserve">No</t>
  </si>
  <si>
    <t xml:space="preserve">A</t>
  </si>
  <si>
    <t xml:space="preserve">Yes</t>
  </si>
  <si>
    <t xml:space="preserve">Skill score</t>
  </si>
  <si>
    <t xml:space="preserve">Bot 1 chance (skill+area)</t>
  </si>
  <si>
    <t xml:space="preserve">Bot 1 recommends?</t>
  </si>
  <si>
    <t xml:space="preserve">Bot 2 chance (skill+commute)</t>
  </si>
  <si>
    <t xml:space="preserve">Bot 2 recommends?</t>
  </si>
  <si>
    <t xml:space="preserve">Bot 3 chance (skill only)</t>
  </si>
  <si>
    <t xml:space="preserve">Bot 3 recommends?</t>
  </si>
  <si>
    <t xml:space="preserve">Share of each area that got hired / recommended</t>
  </si>
  <si>
    <t xml:space="preserve">Who decided</t>
  </si>
  <si>
    <t xml:space="preserve">Area A</t>
  </si>
  <si>
    <t xml:space="preserve">Area B</t>
  </si>
  <si>
    <t xml:space="preserve">Gap (A minus B)</t>
  </si>
  <si>
    <t xml:space="preserve">Past human decisions (400 applicants)</t>
  </si>
  <si>
    <t xml:space="preserve">Bot 1 (sees skill + area)</t>
  </si>
  <si>
    <t xml:space="preserve">Bot 2 (no area, sees commute)</t>
  </si>
  <si>
    <t xml:space="preserve">Bot 3 (skill only)</t>
  </si>
  <si>
    <t xml:space="preserve">DID THE TWO AREAS HAVE THE SAME SKILLS?</t>
  </si>
  <si>
    <t xml:space="preserve">Measure</t>
  </si>
  <si>
    <t xml:space="preserve">Average skill score, past applicants</t>
  </si>
  <si>
    <t xml:space="preserve">Average skill score, new applicants</t>
  </si>
  <si>
    <t xml:space="preserve">Average commute (minutes), past applicants</t>
  </si>
  <si>
    <t xml:space="preserve">PAST HIRE RATE AT THE SAME SKILL BAND</t>
  </si>
  <si>
    <t xml:space="preserve">Low</t>
  </si>
  <si>
    <t xml:space="preserve">Mid</t>
  </si>
  <si>
    <t xml:space="preserve">High</t>
  </si>
  <si>
    <t xml:space="preserve">Bias audit question</t>
  </si>
  <si>
    <t xml:space="preserve">My answer</t>
  </si>
  <si>
    <t xml:space="preserve">The system I'm auditing (made-up or general)</t>
  </si>
  <si>
    <t xml:space="preserve">What past decisions or data does it learn from?</t>
  </si>
  <si>
    <t xml:space="preserve">Who is in that data? Who might be missing or under-counted?</t>
  </si>
  <si>
    <t xml:space="preserve">What groups could it treat differently?</t>
  </si>
  <si>
    <t xml:space="preserve">Which columns could be PROXIES for a group (like commute time here)?</t>
  </si>
  <si>
    <t xml:space="preserve">What are the outcome rates for each group?</t>
  </si>
  <si>
    <t xml:space="preserve">Do the groups have the same relevant ability or need? How do I know?</t>
  </si>
  <si>
    <t xml:space="preserve">One change I would make, and what it might NOT fix</t>
  </si>
  <si>
    <t xml:space="preserve">My honest sentence: the data shows… but cannot prove…</t>
  </si>
  <si>
    <t xml:space="preserve">Yellow = yours to fill. Use made-up or general examples. No real people's data.</t>
  </si>
  <si>
    <t xml:space="preserve">ANSWER KEY (made-up data) — try it yourself first</t>
  </si>
  <si>
    <t xml:space="preserve">What we calculate</t>
  </si>
  <si>
    <t xml:space="preserve">Result</t>
  </si>
  <si>
    <t xml:space="preserve">Why it matters</t>
  </si>
  <si>
    <t xml:space="preserve">Past hire rate, Area A</t>
  </si>
  <si>
    <t xml:space="preserve">Same skills, much higher rate</t>
  </si>
  <si>
    <t xml:space="preserve">Past hire rate, Area B</t>
  </si>
  <si>
    <t xml:space="preserve">Average skill, Area A (past)</t>
  </si>
  <si>
    <t xml:space="preserve">Nearly equal skills…</t>
  </si>
  <si>
    <t xml:space="preserve">Average skill, Area B (past)</t>
  </si>
  <si>
    <t xml:space="preserve">…so skill doesn't explain the gap</t>
  </si>
  <si>
    <t xml:space="preserve">Bot 1 recommends, Area A</t>
  </si>
  <si>
    <t xml:space="preserve">The bot copies the pattern it was shown</t>
  </si>
  <si>
    <t xml:space="preserve">Bot 1 recommends, Area B</t>
  </si>
  <si>
    <t xml:space="preserve">Bot 2 recommends, Area A</t>
  </si>
  <si>
    <t xml:space="preserve">Area was hidden, but…</t>
  </si>
  <si>
    <t xml:space="preserve">Bot 2 recommends, Area B</t>
  </si>
  <si>
    <t xml:space="preserve">…commute time leaks it. Removing a column doesn't remove the bias</t>
  </si>
  <si>
    <t xml:space="preserve">Bot 3 recommends, Area A</t>
  </si>
  <si>
    <t xml:space="preserve">Skill only…</t>
  </si>
  <si>
    <t xml:space="preserve">Bot 3 recommends, Area B</t>
  </si>
  <si>
    <t xml:space="preserve">…treats the areas about the same. But it still learned from biased decisions</t>
  </si>
  <si>
    <t xml:space="preserve">Reminder: a model that copies biased decisions perfectly would score 'perfect' against those decisions.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</si>
</sst>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0.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4213D"/>
      <name val="Arial"/>
      <family val="0"/>
      <charset val="1"/>
    </font>
    <font>
      <i val="true"/>
      <sz val="11"/>
      <color rgb="FF808080"/>
      <name val="Arial"/>
      <family val="0"/>
      <charset val="1"/>
    </font>
    <font>
      <b val="true"/>
      <sz val="11"/>
      <color rgb="FFB00020"/>
      <name val="Arial"/>
      <family val="0"/>
      <charset val="1"/>
    </font>
    <font>
      <b val="true"/>
      <sz val="12"/>
      <color rgb="FF14213D"/>
      <name val="Arial"/>
      <family val="0"/>
      <charset val="1"/>
    </font>
    <font>
      <sz val="11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3"/>
      <color rgb="FF14213D"/>
      <name val="Arial"/>
      <family val="0"/>
      <charset val="1"/>
    </font>
    <font>
      <sz val="10"/>
      <color rgb="FF808080"/>
      <name val="Arial"/>
      <family val="0"/>
      <charset val="1"/>
    </font>
    <font>
      <i val="true"/>
      <sz val="11"/>
      <color rgb="FFB0002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4213D"/>
        <bgColor rgb="FF00336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B0002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878787"/>
      <rgbColor rgb="FF003366"/>
      <rgbColor rgb="FF339966"/>
      <rgbColor rgb="FF003300"/>
      <rgbColor rgb="FF333300"/>
      <rgbColor rgb="FF993300"/>
      <rgbColor rgb="FF993366"/>
      <rgbColor rgb="FF333399"/>
      <rgbColor rgb="FF1421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Share hired or recommended, by area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Results!B3</c:f>
              <c:strCache>
                <c:ptCount val="1"/>
                <c:pt idx="0">
                  <c:v>Area A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Results!$A$4:$A$7</c:f>
              <c:strCache>
                <c:ptCount val="4"/>
                <c:pt idx="0">
                  <c:v>Past human decisions (400 applicants)</c:v>
                </c:pt>
                <c:pt idx="1">
                  <c:v>Bot 1 (sees skill + area)</c:v>
                </c:pt>
                <c:pt idx="2">
                  <c:v>Bot 2 (no area, sees commute)</c:v>
                </c:pt>
                <c:pt idx="3">
                  <c:v>Bot 3 (skill only)</c:v>
                </c:pt>
              </c:strCache>
            </c:strRef>
          </c:cat>
          <c:val>
            <c:numRef>
              <c:f>Results!$B$4:$B$7</c:f>
              <c:numCache>
                <c:formatCode>0%</c:formatCode>
                <c:ptCount val="4"/>
                <c:pt idx="0">
                  <c:v>0.530805687203792</c:v>
                </c:pt>
                <c:pt idx="1">
                  <c:v>0.830188679245283</c:v>
                </c:pt>
                <c:pt idx="2">
                  <c:v>0.830188679245283</c:v>
                </c:pt>
                <c:pt idx="3">
                  <c:v>0.30188679245283</c:v>
                </c:pt>
              </c:numCache>
            </c:numRef>
          </c:val>
        </c:ser>
        <c:ser>
          <c:idx val="1"/>
          <c:order val="1"/>
          <c:tx>
            <c:strRef>
              <c:f>Results!C3</c:f>
              <c:strCache>
                <c:ptCount val="1"/>
                <c:pt idx="0">
                  <c:v>Area B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Results!$A$4:$A$7</c:f>
              <c:strCache>
                <c:ptCount val="4"/>
                <c:pt idx="0">
                  <c:v>Past human decisions (400 applicants)</c:v>
                </c:pt>
                <c:pt idx="1">
                  <c:v>Bot 1 (sees skill + area)</c:v>
                </c:pt>
                <c:pt idx="2">
                  <c:v>Bot 2 (no area, sees commute)</c:v>
                </c:pt>
                <c:pt idx="3">
                  <c:v>Bot 3 (skill only)</c:v>
                </c:pt>
              </c:strCache>
            </c:strRef>
          </c:cat>
          <c:val>
            <c:numRef>
              <c:f>Results!$C$4:$C$7</c:f>
              <c:numCache>
                <c:formatCode>0%</c:formatCode>
                <c:ptCount val="4"/>
                <c:pt idx="0">
                  <c:v>0.222222222222222</c:v>
                </c:pt>
                <c:pt idx="1">
                  <c:v>0.319148936170213</c:v>
                </c:pt>
                <c:pt idx="2">
                  <c:v>0.425531914893617</c:v>
                </c:pt>
                <c:pt idx="3">
                  <c:v>0.319148936170213</c:v>
                </c:pt>
              </c:numCache>
            </c:numRef>
          </c:val>
        </c:ser>
        <c:gapWidth val="150"/>
        <c:overlap val="0"/>
        <c:axId val="12036105"/>
        <c:axId val="82637017"/>
      </c:barChart>
      <c:catAx>
        <c:axId val="1203610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637017"/>
        <c:crosses val="autoZero"/>
        <c:auto val="1"/>
        <c:lblAlgn val="ctr"/>
        <c:lblOffset val="100"/>
        <c:noMultiLvlLbl val="0"/>
      </c:catAx>
      <c:valAx>
        <c:axId val="82637017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03610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0</xdr:rowOff>
    </xdr:from>
    <xdr:to>
      <xdr:col>15</xdr:col>
      <xdr:colOff>364680</xdr:colOff>
      <xdr:row>16</xdr:row>
      <xdr:rowOff>115200</xdr:rowOff>
    </xdr:to>
    <xdr:graphicFrame>
      <xdr:nvGraphicFramePr>
        <xdr:cNvPr id="0" name="Chart 1"/>
        <xdr:cNvGraphicFramePr/>
      </xdr:nvGraphicFramePr>
      <xdr:xfrm>
        <a:off x="6673320" y="38088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0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/>
    </row>
    <row r="5" customFormat="false" ht="26.85" hidden="false" customHeight="false" outlineLevel="0" collapsed="false">
      <c r="B5" s="4" t="s">
        <v>2</v>
      </c>
    </row>
    <row r="6" customFormat="false" ht="15" hidden="false" customHeight="false" outlineLevel="0" collapsed="false">
      <c r="B6" s="3"/>
    </row>
    <row r="7" customFormat="false" ht="26.85" hidden="false" customHeight="false" outlineLevel="0" collapsed="false">
      <c r="B7" s="5" t="s">
        <v>3</v>
      </c>
    </row>
    <row r="8" customFormat="false" ht="15" hidden="false" customHeight="false" outlineLevel="0" collapsed="false">
      <c r="B8" s="3"/>
    </row>
    <row r="9" customFormat="false" ht="26.85" hidden="false" customHeight="false" outlineLevel="0" collapsed="false">
      <c r="B9" s="5" t="s">
        <v>4</v>
      </c>
    </row>
    <row r="10" customFormat="false" ht="15" hidden="false" customHeight="false" outlineLevel="0" collapsed="false">
      <c r="B10" s="6" t="s">
        <v>5</v>
      </c>
    </row>
    <row r="11" customFormat="false" ht="26.85" hidden="false" customHeight="false" outlineLevel="0" collapsed="false">
      <c r="B11" s="6" t="s">
        <v>6</v>
      </c>
    </row>
    <row r="12" customFormat="false" ht="15" hidden="false" customHeight="false" outlineLevel="0" collapsed="false">
      <c r="B12" s="6" t="s">
        <v>7</v>
      </c>
    </row>
    <row r="13" customFormat="false" ht="15" hidden="false" customHeight="false" outlineLevel="0" collapsed="false">
      <c r="B13" s="6" t="s">
        <v>8</v>
      </c>
    </row>
    <row r="14" customFormat="false" ht="15" hidden="false" customHeight="false" outlineLevel="0" collapsed="false">
      <c r="B14" s="3"/>
    </row>
    <row r="15" customFormat="false" ht="15" hidden="false" customHeight="false" outlineLevel="0" collapsed="false">
      <c r="B15" s="5" t="s">
        <v>9</v>
      </c>
    </row>
    <row r="16" customFormat="false" ht="26.85" hidden="false" customHeight="false" outlineLevel="0" collapsed="false">
      <c r="B16" s="6" t="s">
        <v>10</v>
      </c>
    </row>
    <row r="17" customFormat="false" ht="26.85" hidden="false" customHeight="false" outlineLevel="0" collapsed="false">
      <c r="B17" s="6" t="s">
        <v>11</v>
      </c>
    </row>
    <row r="18" customFormat="false" ht="15" hidden="false" customHeight="false" outlineLevel="0" collapsed="false">
      <c r="B18" s="3"/>
    </row>
    <row r="19" customFormat="false" ht="15" hidden="false" customHeight="false" outlineLevel="0" collapsed="false">
      <c r="B19" s="5" t="s">
        <v>12</v>
      </c>
    </row>
    <row r="20" customFormat="false" ht="15" hidden="false" customHeight="false" outlineLevel="0" collapsed="false">
      <c r="B20" s="6" t="s">
        <v>13</v>
      </c>
    </row>
    <row r="21" customFormat="false" ht="26.85" hidden="false" customHeight="false" outlineLevel="0" collapsed="false">
      <c r="B21" s="6" t="s">
        <v>14</v>
      </c>
    </row>
    <row r="22" customFormat="false" ht="26.85" hidden="false" customHeight="false" outlineLevel="0" collapsed="false">
      <c r="B22" s="6" t="s">
        <v>15</v>
      </c>
    </row>
    <row r="23" customFormat="false" ht="15" hidden="false" customHeight="false" outlineLevel="0" collapsed="false">
      <c r="B23" s="6" t="s">
        <v>16</v>
      </c>
    </row>
    <row r="24" customFormat="false" ht="15" hidden="false" customHeight="false" outlineLevel="0" collapsed="false">
      <c r="B24" s="3"/>
    </row>
    <row r="25" customFormat="false" ht="15" hidden="false" customHeight="false" outlineLevel="0" collapsed="false">
      <c r="B25" s="7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8"/>
    <col collapsed="false" customWidth="true" hidden="false" outlineLevel="0" max="3" min="3" style="0" width="8"/>
    <col collapsed="false" customWidth="true" hidden="false" outlineLevel="0" max="4" min="4" style="0" width="14"/>
    <col collapsed="false" customWidth="true" hidden="false" outlineLevel="0" max="5" min="5" style="0" width="11"/>
    <col collapsed="false" customWidth="true" hidden="false" outlineLevel="0" max="7" min="6" style="0" width="13"/>
    <col collapsed="false" customWidth="true" hidden="false" outlineLevel="0" max="8" min="8" style="0" width="11"/>
  </cols>
  <sheetData>
    <row r="1" customFormat="false" ht="48" hidden="false" customHeight="true" outlineLevel="0" collapsed="false">
      <c r="A1" s="8" t="s">
        <v>18</v>
      </c>
      <c r="B1" s="8" t="s">
        <v>19</v>
      </c>
      <c r="C1" s="8" t="s">
        <v>20</v>
      </c>
      <c r="D1" s="8" t="s">
        <v>21</v>
      </c>
      <c r="E1" s="8" t="s">
        <v>22</v>
      </c>
      <c r="F1" s="8" t="s">
        <v>23</v>
      </c>
      <c r="G1" s="8" t="s">
        <v>24</v>
      </c>
      <c r="H1" s="8" t="s">
        <v>25</v>
      </c>
      <c r="J1" s="9" t="s">
        <v>26</v>
      </c>
    </row>
    <row r="2" customFormat="false" ht="15" hidden="false" customHeight="false" outlineLevel="0" collapsed="false">
      <c r="A2" s="10" t="n">
        <v>1</v>
      </c>
      <c r="B2" s="10" t="n">
        <v>54</v>
      </c>
      <c r="C2" s="10" t="s">
        <v>27</v>
      </c>
      <c r="D2" s="10" t="n">
        <v>35</v>
      </c>
      <c r="E2" s="11" t="str">
        <f aca="false">IF(B2&lt;50,"Low",IF(B2&lt;70,"Mid","High"))</f>
        <v>Mid</v>
      </c>
      <c r="F2" s="11" t="str">
        <f aca="false">IF(D2&lt;24,"Short","Long")</f>
        <v>Long</v>
      </c>
      <c r="G2" s="10" t="s">
        <v>28</v>
      </c>
      <c r="H2" s="11" t="n">
        <f aca="false">IF(G2="Yes",1,0)</f>
        <v>0</v>
      </c>
    </row>
    <row r="3" customFormat="false" ht="15" hidden="false" customHeight="false" outlineLevel="0" collapsed="false">
      <c r="A3" s="10" t="n">
        <v>2</v>
      </c>
      <c r="B3" s="10" t="n">
        <v>50</v>
      </c>
      <c r="C3" s="10" t="s">
        <v>27</v>
      </c>
      <c r="D3" s="10" t="n">
        <v>24</v>
      </c>
      <c r="E3" s="11" t="str">
        <f aca="false">IF(B3&lt;50,"Low",IF(B3&lt;70,"Mid","High"))</f>
        <v>Mid</v>
      </c>
      <c r="F3" s="11" t="str">
        <f aca="false">IF(D3&lt;24,"Short","Long")</f>
        <v>Long</v>
      </c>
      <c r="G3" s="10" t="s">
        <v>28</v>
      </c>
      <c r="H3" s="11" t="n">
        <f aca="false">IF(G3="Yes",1,0)</f>
        <v>0</v>
      </c>
    </row>
    <row r="4" customFormat="false" ht="15" hidden="false" customHeight="false" outlineLevel="0" collapsed="false">
      <c r="A4" s="10" t="n">
        <v>3</v>
      </c>
      <c r="B4" s="10" t="n">
        <v>62</v>
      </c>
      <c r="C4" s="10" t="s">
        <v>27</v>
      </c>
      <c r="D4" s="10" t="n">
        <v>30</v>
      </c>
      <c r="E4" s="11" t="str">
        <f aca="false">IF(B4&lt;50,"Low",IF(B4&lt;70,"Mid","High"))</f>
        <v>Mid</v>
      </c>
      <c r="F4" s="11" t="str">
        <f aca="false">IF(D4&lt;24,"Short","Long")</f>
        <v>Long</v>
      </c>
      <c r="G4" s="10" t="s">
        <v>28</v>
      </c>
      <c r="H4" s="11" t="n">
        <f aca="false">IF(G4="Yes",1,0)</f>
        <v>0</v>
      </c>
    </row>
    <row r="5" customFormat="false" ht="15" hidden="false" customHeight="false" outlineLevel="0" collapsed="false">
      <c r="A5" s="10" t="n">
        <v>4</v>
      </c>
      <c r="B5" s="10" t="n">
        <v>60</v>
      </c>
      <c r="C5" s="10" t="s">
        <v>27</v>
      </c>
      <c r="D5" s="10" t="n">
        <v>38</v>
      </c>
      <c r="E5" s="11" t="str">
        <f aca="false">IF(B5&lt;50,"Low",IF(B5&lt;70,"Mid","High"))</f>
        <v>Mid</v>
      </c>
      <c r="F5" s="11" t="str">
        <f aca="false">IF(D5&lt;24,"Short","Long")</f>
        <v>Long</v>
      </c>
      <c r="G5" s="10" t="s">
        <v>28</v>
      </c>
      <c r="H5" s="11" t="n">
        <f aca="false">IF(G5="Yes",1,0)</f>
        <v>0</v>
      </c>
    </row>
    <row r="6" customFormat="false" ht="15" hidden="false" customHeight="false" outlineLevel="0" collapsed="false">
      <c r="A6" s="10" t="n">
        <v>5</v>
      </c>
      <c r="B6" s="10" t="n">
        <v>54</v>
      </c>
      <c r="C6" s="10" t="s">
        <v>27</v>
      </c>
      <c r="D6" s="10" t="n">
        <v>38</v>
      </c>
      <c r="E6" s="11" t="str">
        <f aca="false">IF(B6&lt;50,"Low",IF(B6&lt;70,"Mid","High"))</f>
        <v>Mid</v>
      </c>
      <c r="F6" s="11" t="str">
        <f aca="false">IF(D6&lt;24,"Short","Long")</f>
        <v>Long</v>
      </c>
      <c r="G6" s="10" t="s">
        <v>28</v>
      </c>
      <c r="H6" s="11" t="n">
        <f aca="false">IF(G6="Yes",1,0)</f>
        <v>0</v>
      </c>
    </row>
    <row r="7" customFormat="false" ht="15" hidden="false" customHeight="false" outlineLevel="0" collapsed="false">
      <c r="A7" s="10" t="n">
        <v>6</v>
      </c>
      <c r="B7" s="10" t="n">
        <v>58</v>
      </c>
      <c r="C7" s="10" t="s">
        <v>29</v>
      </c>
      <c r="D7" s="10" t="n">
        <v>16</v>
      </c>
      <c r="E7" s="11" t="str">
        <f aca="false">IF(B7&lt;50,"Low",IF(B7&lt;70,"Mid","High"))</f>
        <v>Mid</v>
      </c>
      <c r="F7" s="11" t="str">
        <f aca="false">IF(D7&lt;24,"Short","Long")</f>
        <v>Short</v>
      </c>
      <c r="G7" s="10" t="s">
        <v>30</v>
      </c>
      <c r="H7" s="11" t="n">
        <f aca="false">IF(G7="Yes",1,0)</f>
        <v>1</v>
      </c>
    </row>
    <row r="8" customFormat="false" ht="15" hidden="false" customHeight="false" outlineLevel="0" collapsed="false">
      <c r="A8" s="10" t="n">
        <v>7</v>
      </c>
      <c r="B8" s="10" t="n">
        <v>79</v>
      </c>
      <c r="C8" s="10" t="s">
        <v>29</v>
      </c>
      <c r="D8" s="10" t="n">
        <v>12</v>
      </c>
      <c r="E8" s="11" t="str">
        <f aca="false">IF(B8&lt;50,"Low",IF(B8&lt;70,"Mid","High"))</f>
        <v>High</v>
      </c>
      <c r="F8" s="11" t="str">
        <f aca="false">IF(D8&lt;24,"Short","Long")</f>
        <v>Short</v>
      </c>
      <c r="G8" s="10" t="s">
        <v>30</v>
      </c>
      <c r="H8" s="11" t="n">
        <f aca="false">IF(G8="Yes",1,0)</f>
        <v>1</v>
      </c>
    </row>
    <row r="9" customFormat="false" ht="15" hidden="false" customHeight="false" outlineLevel="0" collapsed="false">
      <c r="A9" s="10" t="n">
        <v>8</v>
      </c>
      <c r="B9" s="10" t="n">
        <v>53</v>
      </c>
      <c r="C9" s="10" t="s">
        <v>29</v>
      </c>
      <c r="D9" s="10" t="n">
        <v>22</v>
      </c>
      <c r="E9" s="11" t="str">
        <f aca="false">IF(B9&lt;50,"Low",IF(B9&lt;70,"Mid","High"))</f>
        <v>Mid</v>
      </c>
      <c r="F9" s="11" t="str">
        <f aca="false">IF(D9&lt;24,"Short","Long")</f>
        <v>Short</v>
      </c>
      <c r="G9" s="10" t="s">
        <v>28</v>
      </c>
      <c r="H9" s="11" t="n">
        <f aca="false">IF(G9="Yes",1,0)</f>
        <v>0</v>
      </c>
    </row>
    <row r="10" customFormat="false" ht="15" hidden="false" customHeight="false" outlineLevel="0" collapsed="false">
      <c r="A10" s="10" t="n">
        <v>9</v>
      </c>
      <c r="B10" s="10" t="n">
        <v>77</v>
      </c>
      <c r="C10" s="10" t="s">
        <v>27</v>
      </c>
      <c r="D10" s="10" t="n">
        <v>31</v>
      </c>
      <c r="E10" s="11" t="str">
        <f aca="false">IF(B10&lt;50,"Low",IF(B10&lt;70,"Mid","High"))</f>
        <v>High</v>
      </c>
      <c r="F10" s="11" t="str">
        <f aca="false">IF(D10&lt;24,"Short","Long")</f>
        <v>Long</v>
      </c>
      <c r="G10" s="10" t="s">
        <v>28</v>
      </c>
      <c r="H10" s="11" t="n">
        <f aca="false">IF(G10="Yes",1,0)</f>
        <v>0</v>
      </c>
    </row>
    <row r="11" customFormat="false" ht="15" hidden="false" customHeight="false" outlineLevel="0" collapsed="false">
      <c r="A11" s="10" t="n">
        <v>10</v>
      </c>
      <c r="B11" s="10" t="n">
        <v>46</v>
      </c>
      <c r="C11" s="10" t="s">
        <v>27</v>
      </c>
      <c r="D11" s="10" t="n">
        <v>19</v>
      </c>
      <c r="E11" s="11" t="str">
        <f aca="false">IF(B11&lt;50,"Low",IF(B11&lt;70,"Mid","High"))</f>
        <v>Low</v>
      </c>
      <c r="F11" s="11" t="str">
        <f aca="false">IF(D11&lt;24,"Short","Long")</f>
        <v>Short</v>
      </c>
      <c r="G11" s="10" t="s">
        <v>28</v>
      </c>
      <c r="H11" s="11" t="n">
        <f aca="false">IF(G11="Yes",1,0)</f>
        <v>0</v>
      </c>
    </row>
    <row r="12" customFormat="false" ht="15" hidden="false" customHeight="false" outlineLevel="0" collapsed="false">
      <c r="A12" s="10" t="n">
        <v>11</v>
      </c>
      <c r="B12" s="10" t="n">
        <v>59</v>
      </c>
      <c r="C12" s="10" t="s">
        <v>29</v>
      </c>
      <c r="D12" s="10" t="n">
        <v>15</v>
      </c>
      <c r="E12" s="11" t="str">
        <f aca="false">IF(B12&lt;50,"Low",IF(B12&lt;70,"Mid","High"))</f>
        <v>Mid</v>
      </c>
      <c r="F12" s="11" t="str">
        <f aca="false">IF(D12&lt;24,"Short","Long")</f>
        <v>Short</v>
      </c>
      <c r="G12" s="10" t="s">
        <v>28</v>
      </c>
      <c r="H12" s="11" t="n">
        <f aca="false">IF(G12="Yes",1,0)</f>
        <v>0</v>
      </c>
    </row>
    <row r="13" customFormat="false" ht="15" hidden="false" customHeight="false" outlineLevel="0" collapsed="false">
      <c r="A13" s="10" t="n">
        <v>12</v>
      </c>
      <c r="B13" s="10" t="n">
        <v>43</v>
      </c>
      <c r="C13" s="10" t="s">
        <v>27</v>
      </c>
      <c r="D13" s="10" t="n">
        <v>53</v>
      </c>
      <c r="E13" s="11" t="str">
        <f aca="false">IF(B13&lt;50,"Low",IF(B13&lt;70,"Mid","High"))</f>
        <v>Low</v>
      </c>
      <c r="F13" s="11" t="str">
        <f aca="false">IF(D13&lt;24,"Short","Long")</f>
        <v>Long</v>
      </c>
      <c r="G13" s="10" t="s">
        <v>28</v>
      </c>
      <c r="H13" s="11" t="n">
        <f aca="false">IF(G13="Yes",1,0)</f>
        <v>0</v>
      </c>
    </row>
    <row r="14" customFormat="false" ht="15" hidden="false" customHeight="false" outlineLevel="0" collapsed="false">
      <c r="A14" s="10" t="n">
        <v>13</v>
      </c>
      <c r="B14" s="10" t="n">
        <v>63</v>
      </c>
      <c r="C14" s="10" t="s">
        <v>27</v>
      </c>
      <c r="D14" s="10" t="n">
        <v>22</v>
      </c>
      <c r="E14" s="11" t="str">
        <f aca="false">IF(B14&lt;50,"Low",IF(B14&lt;70,"Mid","High"))</f>
        <v>Mid</v>
      </c>
      <c r="F14" s="11" t="str">
        <f aca="false">IF(D14&lt;24,"Short","Long")</f>
        <v>Short</v>
      </c>
      <c r="G14" s="10" t="s">
        <v>28</v>
      </c>
      <c r="H14" s="11" t="n">
        <f aca="false">IF(G14="Yes",1,0)</f>
        <v>0</v>
      </c>
    </row>
    <row r="15" customFormat="false" ht="15" hidden="false" customHeight="false" outlineLevel="0" collapsed="false">
      <c r="A15" s="10" t="n">
        <v>14</v>
      </c>
      <c r="B15" s="10" t="n">
        <v>64</v>
      </c>
      <c r="C15" s="10" t="s">
        <v>29</v>
      </c>
      <c r="D15" s="10" t="n">
        <v>16</v>
      </c>
      <c r="E15" s="11" t="str">
        <f aca="false">IF(B15&lt;50,"Low",IF(B15&lt;70,"Mid","High"))</f>
        <v>Mid</v>
      </c>
      <c r="F15" s="11" t="str">
        <f aca="false">IF(D15&lt;24,"Short","Long")</f>
        <v>Short</v>
      </c>
      <c r="G15" s="10" t="s">
        <v>28</v>
      </c>
      <c r="H15" s="11" t="n">
        <f aca="false">IF(G15="Yes",1,0)</f>
        <v>0</v>
      </c>
    </row>
    <row r="16" customFormat="false" ht="15" hidden="false" customHeight="false" outlineLevel="0" collapsed="false">
      <c r="A16" s="10" t="n">
        <v>15</v>
      </c>
      <c r="B16" s="10" t="n">
        <v>75</v>
      </c>
      <c r="C16" s="10" t="s">
        <v>27</v>
      </c>
      <c r="D16" s="10" t="n">
        <v>32</v>
      </c>
      <c r="E16" s="11" t="str">
        <f aca="false">IF(B16&lt;50,"Low",IF(B16&lt;70,"Mid","High"))</f>
        <v>High</v>
      </c>
      <c r="F16" s="11" t="str">
        <f aca="false">IF(D16&lt;24,"Short","Long")</f>
        <v>Long</v>
      </c>
      <c r="G16" s="10" t="s">
        <v>30</v>
      </c>
      <c r="H16" s="11" t="n">
        <f aca="false">IF(G16="Yes",1,0)</f>
        <v>1</v>
      </c>
    </row>
    <row r="17" customFormat="false" ht="15" hidden="false" customHeight="false" outlineLevel="0" collapsed="false">
      <c r="A17" s="10" t="n">
        <v>16</v>
      </c>
      <c r="B17" s="10" t="n">
        <v>73</v>
      </c>
      <c r="C17" s="10" t="s">
        <v>29</v>
      </c>
      <c r="D17" s="10" t="n">
        <v>18</v>
      </c>
      <c r="E17" s="11" t="str">
        <f aca="false">IF(B17&lt;50,"Low",IF(B17&lt;70,"Mid","High"))</f>
        <v>High</v>
      </c>
      <c r="F17" s="11" t="str">
        <f aca="false">IF(D17&lt;24,"Short","Long")</f>
        <v>Short</v>
      </c>
      <c r="G17" s="10" t="s">
        <v>30</v>
      </c>
      <c r="H17" s="11" t="n">
        <f aca="false">IF(G17="Yes",1,0)</f>
        <v>1</v>
      </c>
    </row>
    <row r="18" customFormat="false" ht="15" hidden="false" customHeight="false" outlineLevel="0" collapsed="false">
      <c r="A18" s="10" t="n">
        <v>17</v>
      </c>
      <c r="B18" s="10" t="n">
        <v>81</v>
      </c>
      <c r="C18" s="10" t="s">
        <v>27</v>
      </c>
      <c r="D18" s="10" t="n">
        <v>27</v>
      </c>
      <c r="E18" s="11" t="str">
        <f aca="false">IF(B18&lt;50,"Low",IF(B18&lt;70,"Mid","High"))</f>
        <v>High</v>
      </c>
      <c r="F18" s="11" t="str">
        <f aca="false">IF(D18&lt;24,"Short","Long")</f>
        <v>Long</v>
      </c>
      <c r="G18" s="10" t="s">
        <v>28</v>
      </c>
      <c r="H18" s="11" t="n">
        <f aca="false">IF(G18="Yes",1,0)</f>
        <v>0</v>
      </c>
    </row>
    <row r="19" customFormat="false" ht="15" hidden="false" customHeight="false" outlineLevel="0" collapsed="false">
      <c r="A19" s="10" t="n">
        <v>18</v>
      </c>
      <c r="B19" s="10" t="n">
        <v>61</v>
      </c>
      <c r="C19" s="10" t="s">
        <v>27</v>
      </c>
      <c r="D19" s="10" t="n">
        <v>30</v>
      </c>
      <c r="E19" s="11" t="str">
        <f aca="false">IF(B19&lt;50,"Low",IF(B19&lt;70,"Mid","High"))</f>
        <v>Mid</v>
      </c>
      <c r="F19" s="11" t="str">
        <f aca="false">IF(D19&lt;24,"Short","Long")</f>
        <v>Long</v>
      </c>
      <c r="G19" s="10" t="s">
        <v>28</v>
      </c>
      <c r="H19" s="11" t="n">
        <f aca="false">IF(G19="Yes",1,0)</f>
        <v>0</v>
      </c>
    </row>
    <row r="20" customFormat="false" ht="15" hidden="false" customHeight="false" outlineLevel="0" collapsed="false">
      <c r="A20" s="10" t="n">
        <v>19</v>
      </c>
      <c r="B20" s="10" t="n">
        <v>62</v>
      </c>
      <c r="C20" s="10" t="s">
        <v>29</v>
      </c>
      <c r="D20" s="10" t="n">
        <v>20</v>
      </c>
      <c r="E20" s="11" t="str">
        <f aca="false">IF(B20&lt;50,"Low",IF(B20&lt;70,"Mid","High"))</f>
        <v>Mid</v>
      </c>
      <c r="F20" s="11" t="str">
        <f aca="false">IF(D20&lt;24,"Short","Long")</f>
        <v>Short</v>
      </c>
      <c r="G20" s="10" t="s">
        <v>30</v>
      </c>
      <c r="H20" s="11" t="n">
        <f aca="false">IF(G20="Yes",1,0)</f>
        <v>1</v>
      </c>
    </row>
    <row r="21" customFormat="false" ht="15" hidden="false" customHeight="false" outlineLevel="0" collapsed="false">
      <c r="A21" s="10" t="n">
        <v>20</v>
      </c>
      <c r="B21" s="10" t="n">
        <v>66</v>
      </c>
      <c r="C21" s="10" t="s">
        <v>29</v>
      </c>
      <c r="D21" s="10" t="n">
        <v>14</v>
      </c>
      <c r="E21" s="11" t="str">
        <f aca="false">IF(B21&lt;50,"Low",IF(B21&lt;70,"Mid","High"))</f>
        <v>Mid</v>
      </c>
      <c r="F21" s="11" t="str">
        <f aca="false">IF(D21&lt;24,"Short","Long")</f>
        <v>Short</v>
      </c>
      <c r="G21" s="10" t="s">
        <v>30</v>
      </c>
      <c r="H21" s="11" t="n">
        <f aca="false">IF(G21="Yes",1,0)</f>
        <v>1</v>
      </c>
    </row>
    <row r="22" customFormat="false" ht="15" hidden="false" customHeight="false" outlineLevel="0" collapsed="false">
      <c r="A22" s="10" t="n">
        <v>21</v>
      </c>
      <c r="B22" s="10" t="n">
        <v>78</v>
      </c>
      <c r="C22" s="10" t="s">
        <v>29</v>
      </c>
      <c r="D22" s="10" t="n">
        <v>10</v>
      </c>
      <c r="E22" s="11" t="str">
        <f aca="false">IF(B22&lt;50,"Low",IF(B22&lt;70,"Mid","High"))</f>
        <v>High</v>
      </c>
      <c r="F22" s="11" t="str">
        <f aca="false">IF(D22&lt;24,"Short","Long")</f>
        <v>Short</v>
      </c>
      <c r="G22" s="10" t="s">
        <v>28</v>
      </c>
      <c r="H22" s="11" t="n">
        <f aca="false">IF(G22="Yes",1,0)</f>
        <v>0</v>
      </c>
    </row>
    <row r="23" customFormat="false" ht="15" hidden="false" customHeight="false" outlineLevel="0" collapsed="false">
      <c r="A23" s="10" t="n">
        <v>22</v>
      </c>
      <c r="B23" s="10" t="n">
        <v>69</v>
      </c>
      <c r="C23" s="10" t="s">
        <v>27</v>
      </c>
      <c r="D23" s="10" t="n">
        <v>31</v>
      </c>
      <c r="E23" s="11" t="str">
        <f aca="false">IF(B23&lt;50,"Low",IF(B23&lt;70,"Mid","High"))</f>
        <v>Mid</v>
      </c>
      <c r="F23" s="11" t="str">
        <f aca="false">IF(D23&lt;24,"Short","Long")</f>
        <v>Long</v>
      </c>
      <c r="G23" s="10" t="s">
        <v>30</v>
      </c>
      <c r="H23" s="11" t="n">
        <f aca="false">IF(G23="Yes",1,0)</f>
        <v>1</v>
      </c>
    </row>
    <row r="24" customFormat="false" ht="15" hidden="false" customHeight="false" outlineLevel="0" collapsed="false">
      <c r="A24" s="10" t="n">
        <v>23</v>
      </c>
      <c r="B24" s="10" t="n">
        <v>61</v>
      </c>
      <c r="C24" s="10" t="s">
        <v>29</v>
      </c>
      <c r="D24" s="10" t="n">
        <v>16</v>
      </c>
      <c r="E24" s="11" t="str">
        <f aca="false">IF(B24&lt;50,"Low",IF(B24&lt;70,"Mid","High"))</f>
        <v>Mid</v>
      </c>
      <c r="F24" s="11" t="str">
        <f aca="false">IF(D24&lt;24,"Short","Long")</f>
        <v>Short</v>
      </c>
      <c r="G24" s="10" t="s">
        <v>28</v>
      </c>
      <c r="H24" s="11" t="n">
        <f aca="false">IF(G24="Yes",1,0)</f>
        <v>0</v>
      </c>
    </row>
    <row r="25" customFormat="false" ht="15" hidden="false" customHeight="false" outlineLevel="0" collapsed="false">
      <c r="A25" s="10" t="n">
        <v>24</v>
      </c>
      <c r="B25" s="10" t="n">
        <v>65</v>
      </c>
      <c r="C25" s="10" t="s">
        <v>27</v>
      </c>
      <c r="D25" s="10" t="n">
        <v>39</v>
      </c>
      <c r="E25" s="11" t="str">
        <f aca="false">IF(B25&lt;50,"Low",IF(B25&lt;70,"Mid","High"))</f>
        <v>Mid</v>
      </c>
      <c r="F25" s="11" t="str">
        <f aca="false">IF(D25&lt;24,"Short","Long")</f>
        <v>Long</v>
      </c>
      <c r="G25" s="10" t="s">
        <v>30</v>
      </c>
      <c r="H25" s="11" t="n">
        <f aca="false">IF(G25="Yes",1,0)</f>
        <v>1</v>
      </c>
    </row>
    <row r="26" customFormat="false" ht="15" hidden="false" customHeight="false" outlineLevel="0" collapsed="false">
      <c r="A26" s="10" t="n">
        <v>25</v>
      </c>
      <c r="B26" s="10" t="n">
        <v>36</v>
      </c>
      <c r="C26" s="10" t="s">
        <v>27</v>
      </c>
      <c r="D26" s="10" t="n">
        <v>38</v>
      </c>
      <c r="E26" s="11" t="str">
        <f aca="false">IF(B26&lt;50,"Low",IF(B26&lt;70,"Mid","High"))</f>
        <v>Low</v>
      </c>
      <c r="F26" s="11" t="str">
        <f aca="false">IF(D26&lt;24,"Short","Long")</f>
        <v>Long</v>
      </c>
      <c r="G26" s="10" t="s">
        <v>28</v>
      </c>
      <c r="H26" s="11" t="n">
        <f aca="false">IF(G26="Yes",1,0)</f>
        <v>0</v>
      </c>
    </row>
    <row r="27" customFormat="false" ht="15" hidden="false" customHeight="false" outlineLevel="0" collapsed="false">
      <c r="A27" s="10" t="n">
        <v>26</v>
      </c>
      <c r="B27" s="10" t="n">
        <v>63</v>
      </c>
      <c r="C27" s="10" t="s">
        <v>29</v>
      </c>
      <c r="D27" s="10" t="n">
        <v>14</v>
      </c>
      <c r="E27" s="11" t="str">
        <f aca="false">IF(B27&lt;50,"Low",IF(B27&lt;70,"Mid","High"))</f>
        <v>Mid</v>
      </c>
      <c r="F27" s="11" t="str">
        <f aca="false">IF(D27&lt;24,"Short","Long")</f>
        <v>Short</v>
      </c>
      <c r="G27" s="10" t="s">
        <v>28</v>
      </c>
      <c r="H27" s="11" t="n">
        <f aca="false">IF(G27="Yes",1,0)</f>
        <v>0</v>
      </c>
    </row>
    <row r="28" customFormat="false" ht="15" hidden="false" customHeight="false" outlineLevel="0" collapsed="false">
      <c r="A28" s="10" t="n">
        <v>27</v>
      </c>
      <c r="B28" s="10" t="n">
        <v>50</v>
      </c>
      <c r="C28" s="10" t="s">
        <v>27</v>
      </c>
      <c r="D28" s="10" t="n">
        <v>28</v>
      </c>
      <c r="E28" s="11" t="str">
        <f aca="false">IF(B28&lt;50,"Low",IF(B28&lt;70,"Mid","High"))</f>
        <v>Mid</v>
      </c>
      <c r="F28" s="11" t="str">
        <f aca="false">IF(D28&lt;24,"Short","Long")</f>
        <v>Long</v>
      </c>
      <c r="G28" s="10" t="s">
        <v>28</v>
      </c>
      <c r="H28" s="11" t="n">
        <f aca="false">IF(G28="Yes",1,0)</f>
        <v>0</v>
      </c>
    </row>
    <row r="29" customFormat="false" ht="15" hidden="false" customHeight="false" outlineLevel="0" collapsed="false">
      <c r="A29" s="10" t="n">
        <v>28</v>
      </c>
      <c r="B29" s="10" t="n">
        <v>35</v>
      </c>
      <c r="C29" s="10" t="s">
        <v>29</v>
      </c>
      <c r="D29" s="10" t="n">
        <v>9</v>
      </c>
      <c r="E29" s="11" t="str">
        <f aca="false">IF(B29&lt;50,"Low",IF(B29&lt;70,"Mid","High"))</f>
        <v>Low</v>
      </c>
      <c r="F29" s="11" t="str">
        <f aca="false">IF(D29&lt;24,"Short","Long")</f>
        <v>Short</v>
      </c>
      <c r="G29" s="10" t="s">
        <v>28</v>
      </c>
      <c r="H29" s="11" t="n">
        <f aca="false">IF(G29="Yes",1,0)</f>
        <v>0</v>
      </c>
    </row>
    <row r="30" customFormat="false" ht="15" hidden="false" customHeight="false" outlineLevel="0" collapsed="false">
      <c r="A30" s="10" t="n">
        <v>29</v>
      </c>
      <c r="B30" s="10" t="n">
        <v>65</v>
      </c>
      <c r="C30" s="10" t="s">
        <v>29</v>
      </c>
      <c r="D30" s="10" t="n">
        <v>20</v>
      </c>
      <c r="E30" s="11" t="str">
        <f aca="false">IF(B30&lt;50,"Low",IF(B30&lt;70,"Mid","High"))</f>
        <v>Mid</v>
      </c>
      <c r="F30" s="11" t="str">
        <f aca="false">IF(D30&lt;24,"Short","Long")</f>
        <v>Short</v>
      </c>
      <c r="G30" s="10" t="s">
        <v>30</v>
      </c>
      <c r="H30" s="11" t="n">
        <f aca="false">IF(G30="Yes",1,0)</f>
        <v>1</v>
      </c>
    </row>
    <row r="31" customFormat="false" ht="15" hidden="false" customHeight="false" outlineLevel="0" collapsed="false">
      <c r="A31" s="10" t="n">
        <v>30</v>
      </c>
      <c r="B31" s="10" t="n">
        <v>69</v>
      </c>
      <c r="C31" s="10" t="s">
        <v>29</v>
      </c>
      <c r="D31" s="10" t="n">
        <v>19</v>
      </c>
      <c r="E31" s="11" t="str">
        <f aca="false">IF(B31&lt;50,"Low",IF(B31&lt;70,"Mid","High"))</f>
        <v>Mid</v>
      </c>
      <c r="F31" s="11" t="str">
        <f aca="false">IF(D31&lt;24,"Short","Long")</f>
        <v>Short</v>
      </c>
      <c r="G31" s="10" t="s">
        <v>30</v>
      </c>
      <c r="H31" s="11" t="n">
        <f aca="false">IF(G31="Yes",1,0)</f>
        <v>1</v>
      </c>
    </row>
    <row r="32" customFormat="false" ht="15" hidden="false" customHeight="false" outlineLevel="0" collapsed="false">
      <c r="A32" s="10" t="n">
        <v>31</v>
      </c>
      <c r="B32" s="10" t="n">
        <v>70</v>
      </c>
      <c r="C32" s="10" t="s">
        <v>27</v>
      </c>
      <c r="D32" s="10" t="n">
        <v>26</v>
      </c>
      <c r="E32" s="11" t="str">
        <f aca="false">IF(B32&lt;50,"Low",IF(B32&lt;70,"Mid","High"))</f>
        <v>High</v>
      </c>
      <c r="F32" s="11" t="str">
        <f aca="false">IF(D32&lt;24,"Short","Long")</f>
        <v>Long</v>
      </c>
      <c r="G32" s="10" t="s">
        <v>28</v>
      </c>
      <c r="H32" s="11" t="n">
        <f aca="false">IF(G32="Yes",1,0)</f>
        <v>0</v>
      </c>
    </row>
    <row r="33" customFormat="false" ht="15" hidden="false" customHeight="false" outlineLevel="0" collapsed="false">
      <c r="A33" s="10" t="n">
        <v>32</v>
      </c>
      <c r="B33" s="10" t="n">
        <v>76</v>
      </c>
      <c r="C33" s="10" t="s">
        <v>29</v>
      </c>
      <c r="D33" s="10" t="n">
        <v>12</v>
      </c>
      <c r="E33" s="11" t="str">
        <f aca="false">IF(B33&lt;50,"Low",IF(B33&lt;70,"Mid","High"))</f>
        <v>High</v>
      </c>
      <c r="F33" s="11" t="str">
        <f aca="false">IF(D33&lt;24,"Short","Long")</f>
        <v>Short</v>
      </c>
      <c r="G33" s="10" t="s">
        <v>28</v>
      </c>
      <c r="H33" s="11" t="n">
        <f aca="false">IF(G33="Yes",1,0)</f>
        <v>0</v>
      </c>
    </row>
    <row r="34" customFormat="false" ht="15" hidden="false" customHeight="false" outlineLevel="0" collapsed="false">
      <c r="A34" s="10" t="n">
        <v>33</v>
      </c>
      <c r="B34" s="10" t="n">
        <v>73</v>
      </c>
      <c r="C34" s="10" t="s">
        <v>27</v>
      </c>
      <c r="D34" s="10" t="n">
        <v>35</v>
      </c>
      <c r="E34" s="11" t="str">
        <f aca="false">IF(B34&lt;50,"Low",IF(B34&lt;70,"Mid","High"))</f>
        <v>High</v>
      </c>
      <c r="F34" s="11" t="str">
        <f aca="false">IF(D34&lt;24,"Short","Long")</f>
        <v>Long</v>
      </c>
      <c r="G34" s="10" t="s">
        <v>30</v>
      </c>
      <c r="H34" s="11" t="n">
        <f aca="false">IF(G34="Yes",1,0)</f>
        <v>1</v>
      </c>
    </row>
    <row r="35" customFormat="false" ht="15" hidden="false" customHeight="false" outlineLevel="0" collapsed="false">
      <c r="A35" s="10" t="n">
        <v>34</v>
      </c>
      <c r="B35" s="10" t="n">
        <v>60</v>
      </c>
      <c r="C35" s="10" t="s">
        <v>27</v>
      </c>
      <c r="D35" s="10" t="n">
        <v>42</v>
      </c>
      <c r="E35" s="11" t="str">
        <f aca="false">IF(B35&lt;50,"Low",IF(B35&lt;70,"Mid","High"))</f>
        <v>Mid</v>
      </c>
      <c r="F35" s="11" t="str">
        <f aca="false">IF(D35&lt;24,"Short","Long")</f>
        <v>Long</v>
      </c>
      <c r="G35" s="10" t="s">
        <v>28</v>
      </c>
      <c r="H35" s="11" t="n">
        <f aca="false">IF(G35="Yes",1,0)</f>
        <v>0</v>
      </c>
    </row>
    <row r="36" customFormat="false" ht="15" hidden="false" customHeight="false" outlineLevel="0" collapsed="false">
      <c r="A36" s="10" t="n">
        <v>35</v>
      </c>
      <c r="B36" s="10" t="n">
        <v>64</v>
      </c>
      <c r="C36" s="10" t="s">
        <v>27</v>
      </c>
      <c r="D36" s="10" t="n">
        <v>48</v>
      </c>
      <c r="E36" s="11" t="str">
        <f aca="false">IF(B36&lt;50,"Low",IF(B36&lt;70,"Mid","High"))</f>
        <v>Mid</v>
      </c>
      <c r="F36" s="11" t="str">
        <f aca="false">IF(D36&lt;24,"Short","Long")</f>
        <v>Long</v>
      </c>
      <c r="G36" s="10" t="s">
        <v>28</v>
      </c>
      <c r="H36" s="11" t="n">
        <f aca="false">IF(G36="Yes",1,0)</f>
        <v>0</v>
      </c>
    </row>
    <row r="37" customFormat="false" ht="15" hidden="false" customHeight="false" outlineLevel="0" collapsed="false">
      <c r="A37" s="10" t="n">
        <v>36</v>
      </c>
      <c r="B37" s="10" t="n">
        <v>55</v>
      </c>
      <c r="C37" s="10" t="s">
        <v>29</v>
      </c>
      <c r="D37" s="10" t="n">
        <v>11</v>
      </c>
      <c r="E37" s="11" t="str">
        <f aca="false">IF(B37&lt;50,"Low",IF(B37&lt;70,"Mid","High"))</f>
        <v>Mid</v>
      </c>
      <c r="F37" s="11" t="str">
        <f aca="false">IF(D37&lt;24,"Short","Long")</f>
        <v>Short</v>
      </c>
      <c r="G37" s="10" t="s">
        <v>30</v>
      </c>
      <c r="H37" s="11" t="n">
        <f aca="false">IF(G37="Yes",1,0)</f>
        <v>1</v>
      </c>
    </row>
    <row r="38" customFormat="false" ht="15" hidden="false" customHeight="false" outlineLevel="0" collapsed="false">
      <c r="A38" s="10" t="n">
        <v>37</v>
      </c>
      <c r="B38" s="10" t="n">
        <v>59</v>
      </c>
      <c r="C38" s="10" t="s">
        <v>29</v>
      </c>
      <c r="D38" s="10" t="n">
        <v>15</v>
      </c>
      <c r="E38" s="11" t="str">
        <f aca="false">IF(B38&lt;50,"Low",IF(B38&lt;70,"Mid","High"))</f>
        <v>Mid</v>
      </c>
      <c r="F38" s="11" t="str">
        <f aca="false">IF(D38&lt;24,"Short","Long")</f>
        <v>Short</v>
      </c>
      <c r="G38" s="10" t="s">
        <v>30</v>
      </c>
      <c r="H38" s="11" t="n">
        <f aca="false">IF(G38="Yes",1,0)</f>
        <v>1</v>
      </c>
    </row>
    <row r="39" customFormat="false" ht="15" hidden="false" customHeight="false" outlineLevel="0" collapsed="false">
      <c r="A39" s="10" t="n">
        <v>38</v>
      </c>
      <c r="B39" s="10" t="n">
        <v>39</v>
      </c>
      <c r="C39" s="10" t="s">
        <v>27</v>
      </c>
      <c r="D39" s="10" t="n">
        <v>35</v>
      </c>
      <c r="E39" s="11" t="str">
        <f aca="false">IF(B39&lt;50,"Low",IF(B39&lt;70,"Mid","High"))</f>
        <v>Low</v>
      </c>
      <c r="F39" s="11" t="str">
        <f aca="false">IF(D39&lt;24,"Short","Long")</f>
        <v>Long</v>
      </c>
      <c r="G39" s="10" t="s">
        <v>28</v>
      </c>
      <c r="H39" s="11" t="n">
        <f aca="false">IF(G39="Yes",1,0)</f>
        <v>0</v>
      </c>
    </row>
    <row r="40" customFormat="false" ht="15" hidden="false" customHeight="false" outlineLevel="0" collapsed="false">
      <c r="A40" s="10" t="n">
        <v>39</v>
      </c>
      <c r="B40" s="10" t="n">
        <v>74</v>
      </c>
      <c r="C40" s="10" t="s">
        <v>29</v>
      </c>
      <c r="D40" s="10" t="n">
        <v>16</v>
      </c>
      <c r="E40" s="11" t="str">
        <f aca="false">IF(B40&lt;50,"Low",IF(B40&lt;70,"Mid","High"))</f>
        <v>High</v>
      </c>
      <c r="F40" s="11" t="str">
        <f aca="false">IF(D40&lt;24,"Short","Long")</f>
        <v>Short</v>
      </c>
      <c r="G40" s="10" t="s">
        <v>30</v>
      </c>
      <c r="H40" s="11" t="n">
        <f aca="false">IF(G40="Yes",1,0)</f>
        <v>1</v>
      </c>
    </row>
    <row r="41" customFormat="false" ht="15" hidden="false" customHeight="false" outlineLevel="0" collapsed="false">
      <c r="A41" s="10" t="n">
        <v>40</v>
      </c>
      <c r="B41" s="10" t="n">
        <v>58</v>
      </c>
      <c r="C41" s="10" t="s">
        <v>29</v>
      </c>
      <c r="D41" s="10" t="n">
        <v>20</v>
      </c>
      <c r="E41" s="11" t="str">
        <f aca="false">IF(B41&lt;50,"Low",IF(B41&lt;70,"Mid","High"))</f>
        <v>Mid</v>
      </c>
      <c r="F41" s="11" t="str">
        <f aca="false">IF(D41&lt;24,"Short","Long")</f>
        <v>Short</v>
      </c>
      <c r="G41" s="10" t="s">
        <v>28</v>
      </c>
      <c r="H41" s="11" t="n">
        <f aca="false">IF(G41="Yes",1,0)</f>
        <v>0</v>
      </c>
    </row>
    <row r="42" customFormat="false" ht="15" hidden="false" customHeight="false" outlineLevel="0" collapsed="false">
      <c r="A42" s="10" t="n">
        <v>41</v>
      </c>
      <c r="B42" s="10" t="n">
        <v>51</v>
      </c>
      <c r="C42" s="10" t="s">
        <v>29</v>
      </c>
      <c r="D42" s="10" t="n">
        <v>9</v>
      </c>
      <c r="E42" s="11" t="str">
        <f aca="false">IF(B42&lt;50,"Low",IF(B42&lt;70,"Mid","High"))</f>
        <v>Mid</v>
      </c>
      <c r="F42" s="11" t="str">
        <f aca="false">IF(D42&lt;24,"Short","Long")</f>
        <v>Short</v>
      </c>
      <c r="G42" s="10" t="s">
        <v>28</v>
      </c>
      <c r="H42" s="11" t="n">
        <f aca="false">IF(G42="Yes",1,0)</f>
        <v>0</v>
      </c>
    </row>
    <row r="43" customFormat="false" ht="15" hidden="false" customHeight="false" outlineLevel="0" collapsed="false">
      <c r="A43" s="10" t="n">
        <v>42</v>
      </c>
      <c r="B43" s="10" t="n">
        <v>77</v>
      </c>
      <c r="C43" s="10" t="s">
        <v>29</v>
      </c>
      <c r="D43" s="10" t="n">
        <v>16</v>
      </c>
      <c r="E43" s="11" t="str">
        <f aca="false">IF(B43&lt;50,"Low",IF(B43&lt;70,"Mid","High"))</f>
        <v>High</v>
      </c>
      <c r="F43" s="11" t="str">
        <f aca="false">IF(D43&lt;24,"Short","Long")</f>
        <v>Short</v>
      </c>
      <c r="G43" s="10" t="s">
        <v>30</v>
      </c>
      <c r="H43" s="11" t="n">
        <f aca="false">IF(G43="Yes",1,0)</f>
        <v>1</v>
      </c>
    </row>
    <row r="44" customFormat="false" ht="15" hidden="false" customHeight="false" outlineLevel="0" collapsed="false">
      <c r="A44" s="10" t="n">
        <v>43</v>
      </c>
      <c r="B44" s="10" t="n">
        <v>47</v>
      </c>
      <c r="C44" s="10" t="s">
        <v>27</v>
      </c>
      <c r="D44" s="10" t="n">
        <v>30</v>
      </c>
      <c r="E44" s="11" t="str">
        <f aca="false">IF(B44&lt;50,"Low",IF(B44&lt;70,"Mid","High"))</f>
        <v>Low</v>
      </c>
      <c r="F44" s="11" t="str">
        <f aca="false">IF(D44&lt;24,"Short","Long")</f>
        <v>Long</v>
      </c>
      <c r="G44" s="10" t="s">
        <v>28</v>
      </c>
      <c r="H44" s="11" t="n">
        <f aca="false">IF(G44="Yes",1,0)</f>
        <v>0</v>
      </c>
    </row>
    <row r="45" customFormat="false" ht="15" hidden="false" customHeight="false" outlineLevel="0" collapsed="false">
      <c r="A45" s="10" t="n">
        <v>44</v>
      </c>
      <c r="B45" s="10" t="n">
        <v>39</v>
      </c>
      <c r="C45" s="10" t="s">
        <v>27</v>
      </c>
      <c r="D45" s="10" t="n">
        <v>33</v>
      </c>
      <c r="E45" s="11" t="str">
        <f aca="false">IF(B45&lt;50,"Low",IF(B45&lt;70,"Mid","High"))</f>
        <v>Low</v>
      </c>
      <c r="F45" s="11" t="str">
        <f aca="false">IF(D45&lt;24,"Short","Long")</f>
        <v>Long</v>
      </c>
      <c r="G45" s="10" t="s">
        <v>28</v>
      </c>
      <c r="H45" s="11" t="n">
        <f aca="false">IF(G45="Yes",1,0)</f>
        <v>0</v>
      </c>
    </row>
    <row r="46" customFormat="false" ht="15" hidden="false" customHeight="false" outlineLevel="0" collapsed="false">
      <c r="A46" s="10" t="n">
        <v>45</v>
      </c>
      <c r="B46" s="10" t="n">
        <v>48</v>
      </c>
      <c r="C46" s="10" t="s">
        <v>29</v>
      </c>
      <c r="D46" s="10" t="n">
        <v>27</v>
      </c>
      <c r="E46" s="11" t="str">
        <f aca="false">IF(B46&lt;50,"Low",IF(B46&lt;70,"Mid","High"))</f>
        <v>Low</v>
      </c>
      <c r="F46" s="11" t="str">
        <f aca="false">IF(D46&lt;24,"Short","Long")</f>
        <v>Long</v>
      </c>
      <c r="G46" s="10" t="s">
        <v>28</v>
      </c>
      <c r="H46" s="11" t="n">
        <f aca="false">IF(G46="Yes",1,0)</f>
        <v>0</v>
      </c>
    </row>
    <row r="47" customFormat="false" ht="15" hidden="false" customHeight="false" outlineLevel="0" collapsed="false">
      <c r="A47" s="10" t="n">
        <v>46</v>
      </c>
      <c r="B47" s="10" t="n">
        <v>57</v>
      </c>
      <c r="C47" s="10" t="s">
        <v>27</v>
      </c>
      <c r="D47" s="10" t="n">
        <v>49</v>
      </c>
      <c r="E47" s="11" t="str">
        <f aca="false">IF(B47&lt;50,"Low",IF(B47&lt;70,"Mid","High"))</f>
        <v>Mid</v>
      </c>
      <c r="F47" s="11" t="str">
        <f aca="false">IF(D47&lt;24,"Short","Long")</f>
        <v>Long</v>
      </c>
      <c r="G47" s="10" t="s">
        <v>28</v>
      </c>
      <c r="H47" s="11" t="n">
        <f aca="false">IF(G47="Yes",1,0)</f>
        <v>0</v>
      </c>
    </row>
    <row r="48" customFormat="false" ht="15" hidden="false" customHeight="false" outlineLevel="0" collapsed="false">
      <c r="A48" s="10" t="n">
        <v>47</v>
      </c>
      <c r="B48" s="10" t="n">
        <v>55</v>
      </c>
      <c r="C48" s="10" t="s">
        <v>27</v>
      </c>
      <c r="D48" s="10" t="n">
        <v>32</v>
      </c>
      <c r="E48" s="11" t="str">
        <f aca="false">IF(B48&lt;50,"Low",IF(B48&lt;70,"Mid","High"))</f>
        <v>Mid</v>
      </c>
      <c r="F48" s="11" t="str">
        <f aca="false">IF(D48&lt;24,"Short","Long")</f>
        <v>Long</v>
      </c>
      <c r="G48" s="10" t="s">
        <v>28</v>
      </c>
      <c r="H48" s="11" t="n">
        <f aca="false">IF(G48="Yes",1,0)</f>
        <v>0</v>
      </c>
    </row>
    <row r="49" customFormat="false" ht="15" hidden="false" customHeight="false" outlineLevel="0" collapsed="false">
      <c r="A49" s="10" t="n">
        <v>48</v>
      </c>
      <c r="B49" s="10" t="n">
        <v>65</v>
      </c>
      <c r="C49" s="10" t="s">
        <v>27</v>
      </c>
      <c r="D49" s="10" t="n">
        <v>31</v>
      </c>
      <c r="E49" s="11" t="str">
        <f aca="false">IF(B49&lt;50,"Low",IF(B49&lt;70,"Mid","High"))</f>
        <v>Mid</v>
      </c>
      <c r="F49" s="11" t="str">
        <f aca="false">IF(D49&lt;24,"Short","Long")</f>
        <v>Long</v>
      </c>
      <c r="G49" s="10" t="s">
        <v>28</v>
      </c>
      <c r="H49" s="11" t="n">
        <f aca="false">IF(G49="Yes",1,0)</f>
        <v>0</v>
      </c>
    </row>
    <row r="50" customFormat="false" ht="15" hidden="false" customHeight="false" outlineLevel="0" collapsed="false">
      <c r="A50" s="10" t="n">
        <v>49</v>
      </c>
      <c r="B50" s="10" t="n">
        <v>55</v>
      </c>
      <c r="C50" s="10" t="s">
        <v>27</v>
      </c>
      <c r="D50" s="10" t="n">
        <v>29</v>
      </c>
      <c r="E50" s="11" t="str">
        <f aca="false">IF(B50&lt;50,"Low",IF(B50&lt;70,"Mid","High"))</f>
        <v>Mid</v>
      </c>
      <c r="F50" s="11" t="str">
        <f aca="false">IF(D50&lt;24,"Short","Long")</f>
        <v>Long</v>
      </c>
      <c r="G50" s="10" t="s">
        <v>28</v>
      </c>
      <c r="H50" s="11" t="n">
        <f aca="false">IF(G50="Yes",1,0)</f>
        <v>0</v>
      </c>
    </row>
    <row r="51" customFormat="false" ht="15" hidden="false" customHeight="false" outlineLevel="0" collapsed="false">
      <c r="A51" s="10" t="n">
        <v>50</v>
      </c>
      <c r="B51" s="10" t="n">
        <v>68</v>
      </c>
      <c r="C51" s="10" t="s">
        <v>27</v>
      </c>
      <c r="D51" s="10" t="n">
        <v>31</v>
      </c>
      <c r="E51" s="11" t="str">
        <f aca="false">IF(B51&lt;50,"Low",IF(B51&lt;70,"Mid","High"))</f>
        <v>Mid</v>
      </c>
      <c r="F51" s="11" t="str">
        <f aca="false">IF(D51&lt;24,"Short","Long")</f>
        <v>Long</v>
      </c>
      <c r="G51" s="10" t="s">
        <v>30</v>
      </c>
      <c r="H51" s="11" t="n">
        <f aca="false">IF(G51="Yes",1,0)</f>
        <v>1</v>
      </c>
    </row>
    <row r="52" customFormat="false" ht="15" hidden="false" customHeight="false" outlineLevel="0" collapsed="false">
      <c r="A52" s="10" t="n">
        <v>51</v>
      </c>
      <c r="B52" s="10" t="n">
        <v>33</v>
      </c>
      <c r="C52" s="10" t="s">
        <v>29</v>
      </c>
      <c r="D52" s="10" t="n">
        <v>15</v>
      </c>
      <c r="E52" s="11" t="str">
        <f aca="false">IF(B52&lt;50,"Low",IF(B52&lt;70,"Mid","High"))</f>
        <v>Low</v>
      </c>
      <c r="F52" s="11" t="str">
        <f aca="false">IF(D52&lt;24,"Short","Long")</f>
        <v>Short</v>
      </c>
      <c r="G52" s="10" t="s">
        <v>28</v>
      </c>
      <c r="H52" s="11" t="n">
        <f aca="false">IF(G52="Yes",1,0)</f>
        <v>0</v>
      </c>
    </row>
    <row r="53" customFormat="false" ht="15" hidden="false" customHeight="false" outlineLevel="0" collapsed="false">
      <c r="A53" s="10" t="n">
        <v>52</v>
      </c>
      <c r="B53" s="10" t="n">
        <v>66</v>
      </c>
      <c r="C53" s="10" t="s">
        <v>27</v>
      </c>
      <c r="D53" s="10" t="n">
        <v>38</v>
      </c>
      <c r="E53" s="11" t="str">
        <f aca="false">IF(B53&lt;50,"Low",IF(B53&lt;70,"Mid","High"))</f>
        <v>Mid</v>
      </c>
      <c r="F53" s="11" t="str">
        <f aca="false">IF(D53&lt;24,"Short","Long")</f>
        <v>Long</v>
      </c>
      <c r="G53" s="10" t="s">
        <v>28</v>
      </c>
      <c r="H53" s="11" t="n">
        <f aca="false">IF(G53="Yes",1,0)</f>
        <v>0</v>
      </c>
    </row>
    <row r="54" customFormat="false" ht="15" hidden="false" customHeight="false" outlineLevel="0" collapsed="false">
      <c r="A54" s="10" t="n">
        <v>53</v>
      </c>
      <c r="B54" s="10" t="n">
        <v>56</v>
      </c>
      <c r="C54" s="10" t="s">
        <v>29</v>
      </c>
      <c r="D54" s="10" t="n">
        <v>11</v>
      </c>
      <c r="E54" s="11" t="str">
        <f aca="false">IF(B54&lt;50,"Low",IF(B54&lt;70,"Mid","High"))</f>
        <v>Mid</v>
      </c>
      <c r="F54" s="11" t="str">
        <f aca="false">IF(D54&lt;24,"Short","Long")</f>
        <v>Short</v>
      </c>
      <c r="G54" s="10" t="s">
        <v>30</v>
      </c>
      <c r="H54" s="11" t="n">
        <f aca="false">IF(G54="Yes",1,0)</f>
        <v>1</v>
      </c>
    </row>
    <row r="55" customFormat="false" ht="15" hidden="false" customHeight="false" outlineLevel="0" collapsed="false">
      <c r="A55" s="10" t="n">
        <v>54</v>
      </c>
      <c r="B55" s="10" t="n">
        <v>56</v>
      </c>
      <c r="C55" s="10" t="s">
        <v>27</v>
      </c>
      <c r="D55" s="10" t="n">
        <v>31</v>
      </c>
      <c r="E55" s="11" t="str">
        <f aca="false">IF(B55&lt;50,"Low",IF(B55&lt;70,"Mid","High"))</f>
        <v>Mid</v>
      </c>
      <c r="F55" s="11" t="str">
        <f aca="false">IF(D55&lt;24,"Short","Long")</f>
        <v>Long</v>
      </c>
      <c r="G55" s="10" t="s">
        <v>28</v>
      </c>
      <c r="H55" s="11" t="n">
        <f aca="false">IF(G55="Yes",1,0)</f>
        <v>0</v>
      </c>
    </row>
    <row r="56" customFormat="false" ht="15" hidden="false" customHeight="false" outlineLevel="0" collapsed="false">
      <c r="A56" s="10" t="n">
        <v>55</v>
      </c>
      <c r="B56" s="10" t="n">
        <v>43</v>
      </c>
      <c r="C56" s="10" t="s">
        <v>29</v>
      </c>
      <c r="D56" s="10" t="n">
        <v>10</v>
      </c>
      <c r="E56" s="11" t="str">
        <f aca="false">IF(B56&lt;50,"Low",IF(B56&lt;70,"Mid","High"))</f>
        <v>Low</v>
      </c>
      <c r="F56" s="11" t="str">
        <f aca="false">IF(D56&lt;24,"Short","Long")</f>
        <v>Short</v>
      </c>
      <c r="G56" s="10" t="s">
        <v>28</v>
      </c>
      <c r="H56" s="11" t="n">
        <f aca="false">IF(G56="Yes",1,0)</f>
        <v>0</v>
      </c>
    </row>
    <row r="57" customFormat="false" ht="15" hidden="false" customHeight="false" outlineLevel="0" collapsed="false">
      <c r="A57" s="10" t="n">
        <v>56</v>
      </c>
      <c r="B57" s="10" t="n">
        <v>56</v>
      </c>
      <c r="C57" s="10" t="s">
        <v>29</v>
      </c>
      <c r="D57" s="10" t="n">
        <v>17</v>
      </c>
      <c r="E57" s="11" t="str">
        <f aca="false">IF(B57&lt;50,"Low",IF(B57&lt;70,"Mid","High"))</f>
        <v>Mid</v>
      </c>
      <c r="F57" s="11" t="str">
        <f aca="false">IF(D57&lt;24,"Short","Long")</f>
        <v>Short</v>
      </c>
      <c r="G57" s="10" t="s">
        <v>30</v>
      </c>
      <c r="H57" s="11" t="n">
        <f aca="false">IF(G57="Yes",1,0)</f>
        <v>1</v>
      </c>
    </row>
    <row r="58" customFormat="false" ht="15" hidden="false" customHeight="false" outlineLevel="0" collapsed="false">
      <c r="A58" s="10" t="n">
        <v>57</v>
      </c>
      <c r="B58" s="10" t="n">
        <v>90</v>
      </c>
      <c r="C58" s="10" t="s">
        <v>27</v>
      </c>
      <c r="D58" s="10" t="n">
        <v>26</v>
      </c>
      <c r="E58" s="11" t="str">
        <f aca="false">IF(B58&lt;50,"Low",IF(B58&lt;70,"Mid","High"))</f>
        <v>High</v>
      </c>
      <c r="F58" s="11" t="str">
        <f aca="false">IF(D58&lt;24,"Short","Long")</f>
        <v>Long</v>
      </c>
      <c r="G58" s="10" t="s">
        <v>30</v>
      </c>
      <c r="H58" s="11" t="n">
        <f aca="false">IF(G58="Yes",1,0)</f>
        <v>1</v>
      </c>
    </row>
    <row r="59" customFormat="false" ht="15" hidden="false" customHeight="false" outlineLevel="0" collapsed="false">
      <c r="A59" s="10" t="n">
        <v>58</v>
      </c>
      <c r="B59" s="10" t="n">
        <v>55</v>
      </c>
      <c r="C59" s="10" t="s">
        <v>27</v>
      </c>
      <c r="D59" s="10" t="n">
        <v>34</v>
      </c>
      <c r="E59" s="11" t="str">
        <f aca="false">IF(B59&lt;50,"Low",IF(B59&lt;70,"Mid","High"))</f>
        <v>Mid</v>
      </c>
      <c r="F59" s="11" t="str">
        <f aca="false">IF(D59&lt;24,"Short","Long")</f>
        <v>Long</v>
      </c>
      <c r="G59" s="10" t="s">
        <v>28</v>
      </c>
      <c r="H59" s="11" t="n">
        <f aca="false">IF(G59="Yes",1,0)</f>
        <v>0</v>
      </c>
    </row>
    <row r="60" customFormat="false" ht="15" hidden="false" customHeight="false" outlineLevel="0" collapsed="false">
      <c r="A60" s="10" t="n">
        <v>59</v>
      </c>
      <c r="B60" s="10" t="n">
        <v>52</v>
      </c>
      <c r="C60" s="10" t="s">
        <v>27</v>
      </c>
      <c r="D60" s="10" t="n">
        <v>38</v>
      </c>
      <c r="E60" s="11" t="str">
        <f aca="false">IF(B60&lt;50,"Low",IF(B60&lt;70,"Mid","High"))</f>
        <v>Mid</v>
      </c>
      <c r="F60" s="11" t="str">
        <f aca="false">IF(D60&lt;24,"Short","Long")</f>
        <v>Long</v>
      </c>
      <c r="G60" s="10" t="s">
        <v>28</v>
      </c>
      <c r="H60" s="11" t="n">
        <f aca="false">IF(G60="Yes",1,0)</f>
        <v>0</v>
      </c>
    </row>
    <row r="61" customFormat="false" ht="15" hidden="false" customHeight="false" outlineLevel="0" collapsed="false">
      <c r="A61" s="10" t="n">
        <v>60</v>
      </c>
      <c r="B61" s="10" t="n">
        <v>27</v>
      </c>
      <c r="C61" s="10" t="s">
        <v>27</v>
      </c>
      <c r="D61" s="10" t="n">
        <v>39</v>
      </c>
      <c r="E61" s="11" t="str">
        <f aca="false">IF(B61&lt;50,"Low",IF(B61&lt;70,"Mid","High"))</f>
        <v>Low</v>
      </c>
      <c r="F61" s="11" t="str">
        <f aca="false">IF(D61&lt;24,"Short","Long")</f>
        <v>Long</v>
      </c>
      <c r="G61" s="10" t="s">
        <v>28</v>
      </c>
      <c r="H61" s="11" t="n">
        <f aca="false">IF(G61="Yes",1,0)</f>
        <v>0</v>
      </c>
    </row>
    <row r="62" customFormat="false" ht="15" hidden="false" customHeight="false" outlineLevel="0" collapsed="false">
      <c r="A62" s="10" t="n">
        <v>61</v>
      </c>
      <c r="B62" s="10" t="n">
        <v>56</v>
      </c>
      <c r="C62" s="10" t="s">
        <v>27</v>
      </c>
      <c r="D62" s="10" t="n">
        <v>36</v>
      </c>
      <c r="E62" s="11" t="str">
        <f aca="false">IF(B62&lt;50,"Low",IF(B62&lt;70,"Mid","High"))</f>
        <v>Mid</v>
      </c>
      <c r="F62" s="11" t="str">
        <f aca="false">IF(D62&lt;24,"Short","Long")</f>
        <v>Long</v>
      </c>
      <c r="G62" s="10" t="s">
        <v>28</v>
      </c>
      <c r="H62" s="11" t="n">
        <f aca="false">IF(G62="Yes",1,0)</f>
        <v>0</v>
      </c>
    </row>
    <row r="63" customFormat="false" ht="15" hidden="false" customHeight="false" outlineLevel="0" collapsed="false">
      <c r="A63" s="10" t="n">
        <v>62</v>
      </c>
      <c r="B63" s="10" t="n">
        <v>19</v>
      </c>
      <c r="C63" s="10" t="s">
        <v>29</v>
      </c>
      <c r="D63" s="10" t="n">
        <v>8</v>
      </c>
      <c r="E63" s="11" t="str">
        <f aca="false">IF(B63&lt;50,"Low",IF(B63&lt;70,"Mid","High"))</f>
        <v>Low</v>
      </c>
      <c r="F63" s="11" t="str">
        <f aca="false">IF(D63&lt;24,"Short","Long")</f>
        <v>Short</v>
      </c>
      <c r="G63" s="10" t="s">
        <v>28</v>
      </c>
      <c r="H63" s="11" t="n">
        <f aca="false">IF(G63="Yes",1,0)</f>
        <v>0</v>
      </c>
    </row>
    <row r="64" customFormat="false" ht="15" hidden="false" customHeight="false" outlineLevel="0" collapsed="false">
      <c r="A64" s="10" t="n">
        <v>63</v>
      </c>
      <c r="B64" s="10" t="n">
        <v>71</v>
      </c>
      <c r="C64" s="10" t="s">
        <v>29</v>
      </c>
      <c r="D64" s="10" t="n">
        <v>22</v>
      </c>
      <c r="E64" s="11" t="str">
        <f aca="false">IF(B64&lt;50,"Low",IF(B64&lt;70,"Mid","High"))</f>
        <v>High</v>
      </c>
      <c r="F64" s="11" t="str">
        <f aca="false">IF(D64&lt;24,"Short","Long")</f>
        <v>Short</v>
      </c>
      <c r="G64" s="10" t="s">
        <v>28</v>
      </c>
      <c r="H64" s="11" t="n">
        <f aca="false">IF(G64="Yes",1,0)</f>
        <v>0</v>
      </c>
    </row>
    <row r="65" customFormat="false" ht="15" hidden="false" customHeight="false" outlineLevel="0" collapsed="false">
      <c r="A65" s="10" t="n">
        <v>64</v>
      </c>
      <c r="B65" s="10" t="n">
        <v>69</v>
      </c>
      <c r="C65" s="10" t="s">
        <v>29</v>
      </c>
      <c r="D65" s="10" t="n">
        <v>6</v>
      </c>
      <c r="E65" s="11" t="str">
        <f aca="false">IF(B65&lt;50,"Low",IF(B65&lt;70,"Mid","High"))</f>
        <v>Mid</v>
      </c>
      <c r="F65" s="11" t="str">
        <f aca="false">IF(D65&lt;24,"Short","Long")</f>
        <v>Short</v>
      </c>
      <c r="G65" s="10" t="s">
        <v>30</v>
      </c>
      <c r="H65" s="11" t="n">
        <f aca="false">IF(G65="Yes",1,0)</f>
        <v>1</v>
      </c>
    </row>
    <row r="66" customFormat="false" ht="15" hidden="false" customHeight="false" outlineLevel="0" collapsed="false">
      <c r="A66" s="10" t="n">
        <v>65</v>
      </c>
      <c r="B66" s="10" t="n">
        <v>53</v>
      </c>
      <c r="C66" s="10" t="s">
        <v>29</v>
      </c>
      <c r="D66" s="10" t="n">
        <v>24</v>
      </c>
      <c r="E66" s="11" t="str">
        <f aca="false">IF(B66&lt;50,"Low",IF(B66&lt;70,"Mid","High"))</f>
        <v>Mid</v>
      </c>
      <c r="F66" s="11" t="str">
        <f aca="false">IF(D66&lt;24,"Short","Long")</f>
        <v>Long</v>
      </c>
      <c r="G66" s="10" t="s">
        <v>28</v>
      </c>
      <c r="H66" s="11" t="n">
        <f aca="false">IF(G66="Yes",1,0)</f>
        <v>0</v>
      </c>
    </row>
    <row r="67" customFormat="false" ht="15" hidden="false" customHeight="false" outlineLevel="0" collapsed="false">
      <c r="A67" s="10" t="n">
        <v>66</v>
      </c>
      <c r="B67" s="10" t="n">
        <v>73</v>
      </c>
      <c r="C67" s="10" t="s">
        <v>29</v>
      </c>
      <c r="D67" s="10" t="n">
        <v>22</v>
      </c>
      <c r="E67" s="11" t="str">
        <f aca="false">IF(B67&lt;50,"Low",IF(B67&lt;70,"Mid","High"))</f>
        <v>High</v>
      </c>
      <c r="F67" s="11" t="str">
        <f aca="false">IF(D67&lt;24,"Short","Long")</f>
        <v>Short</v>
      </c>
      <c r="G67" s="10" t="s">
        <v>28</v>
      </c>
      <c r="H67" s="11" t="n">
        <f aca="false">IF(G67="Yes",1,0)</f>
        <v>0</v>
      </c>
    </row>
    <row r="68" customFormat="false" ht="15" hidden="false" customHeight="false" outlineLevel="0" collapsed="false">
      <c r="A68" s="10" t="n">
        <v>67</v>
      </c>
      <c r="B68" s="10" t="n">
        <v>72</v>
      </c>
      <c r="C68" s="10" t="s">
        <v>27</v>
      </c>
      <c r="D68" s="10" t="n">
        <v>19</v>
      </c>
      <c r="E68" s="11" t="str">
        <f aca="false">IF(B68&lt;50,"Low",IF(B68&lt;70,"Mid","High"))</f>
        <v>High</v>
      </c>
      <c r="F68" s="11" t="str">
        <f aca="false">IF(D68&lt;24,"Short","Long")</f>
        <v>Short</v>
      </c>
      <c r="G68" s="10" t="s">
        <v>30</v>
      </c>
      <c r="H68" s="11" t="n">
        <f aca="false">IF(G68="Yes",1,0)</f>
        <v>1</v>
      </c>
    </row>
    <row r="69" customFormat="false" ht="15" hidden="false" customHeight="false" outlineLevel="0" collapsed="false">
      <c r="A69" s="10" t="n">
        <v>68</v>
      </c>
      <c r="B69" s="10" t="n">
        <v>75</v>
      </c>
      <c r="C69" s="10" t="s">
        <v>27</v>
      </c>
      <c r="D69" s="10" t="n">
        <v>23</v>
      </c>
      <c r="E69" s="11" t="str">
        <f aca="false">IF(B69&lt;50,"Low",IF(B69&lt;70,"Mid","High"))</f>
        <v>High</v>
      </c>
      <c r="F69" s="11" t="str">
        <f aca="false">IF(D69&lt;24,"Short","Long")</f>
        <v>Short</v>
      </c>
      <c r="G69" s="10" t="s">
        <v>30</v>
      </c>
      <c r="H69" s="11" t="n">
        <f aca="false">IF(G69="Yes",1,0)</f>
        <v>1</v>
      </c>
    </row>
    <row r="70" customFormat="false" ht="15" hidden="false" customHeight="false" outlineLevel="0" collapsed="false">
      <c r="A70" s="10" t="n">
        <v>69</v>
      </c>
      <c r="B70" s="10" t="n">
        <v>77</v>
      </c>
      <c r="C70" s="10" t="s">
        <v>27</v>
      </c>
      <c r="D70" s="10" t="n">
        <v>43</v>
      </c>
      <c r="E70" s="11" t="str">
        <f aca="false">IF(B70&lt;50,"Low",IF(B70&lt;70,"Mid","High"))</f>
        <v>High</v>
      </c>
      <c r="F70" s="11" t="str">
        <f aca="false">IF(D70&lt;24,"Short","Long")</f>
        <v>Long</v>
      </c>
      <c r="G70" s="10" t="s">
        <v>30</v>
      </c>
      <c r="H70" s="11" t="n">
        <f aca="false">IF(G70="Yes",1,0)</f>
        <v>1</v>
      </c>
    </row>
    <row r="71" customFormat="false" ht="15" hidden="false" customHeight="false" outlineLevel="0" collapsed="false">
      <c r="A71" s="10" t="n">
        <v>70</v>
      </c>
      <c r="B71" s="10" t="n">
        <v>52</v>
      </c>
      <c r="C71" s="10" t="s">
        <v>29</v>
      </c>
      <c r="D71" s="10" t="n">
        <v>20</v>
      </c>
      <c r="E71" s="11" t="str">
        <f aca="false">IF(B71&lt;50,"Low",IF(B71&lt;70,"Mid","High"))</f>
        <v>Mid</v>
      </c>
      <c r="F71" s="11" t="str">
        <f aca="false">IF(D71&lt;24,"Short","Long")</f>
        <v>Short</v>
      </c>
      <c r="G71" s="10" t="s">
        <v>28</v>
      </c>
      <c r="H71" s="11" t="n">
        <f aca="false">IF(G71="Yes",1,0)</f>
        <v>0</v>
      </c>
    </row>
    <row r="72" customFormat="false" ht="15" hidden="false" customHeight="false" outlineLevel="0" collapsed="false">
      <c r="A72" s="10" t="n">
        <v>71</v>
      </c>
      <c r="B72" s="10" t="n">
        <v>61</v>
      </c>
      <c r="C72" s="10" t="s">
        <v>27</v>
      </c>
      <c r="D72" s="10" t="n">
        <v>36</v>
      </c>
      <c r="E72" s="11" t="str">
        <f aca="false">IF(B72&lt;50,"Low",IF(B72&lt;70,"Mid","High"))</f>
        <v>Mid</v>
      </c>
      <c r="F72" s="11" t="str">
        <f aca="false">IF(D72&lt;24,"Short","Long")</f>
        <v>Long</v>
      </c>
      <c r="G72" s="10" t="s">
        <v>28</v>
      </c>
      <c r="H72" s="11" t="n">
        <f aca="false">IF(G72="Yes",1,0)</f>
        <v>0</v>
      </c>
    </row>
    <row r="73" customFormat="false" ht="15" hidden="false" customHeight="false" outlineLevel="0" collapsed="false">
      <c r="A73" s="10" t="n">
        <v>72</v>
      </c>
      <c r="B73" s="10" t="n">
        <v>59</v>
      </c>
      <c r="C73" s="10" t="s">
        <v>29</v>
      </c>
      <c r="D73" s="10" t="n">
        <v>11</v>
      </c>
      <c r="E73" s="11" t="str">
        <f aca="false">IF(B73&lt;50,"Low",IF(B73&lt;70,"Mid","High"))</f>
        <v>Mid</v>
      </c>
      <c r="F73" s="11" t="str">
        <f aca="false">IF(D73&lt;24,"Short","Long")</f>
        <v>Short</v>
      </c>
      <c r="G73" s="10" t="s">
        <v>30</v>
      </c>
      <c r="H73" s="11" t="n">
        <f aca="false">IF(G73="Yes",1,0)</f>
        <v>1</v>
      </c>
    </row>
    <row r="74" customFormat="false" ht="15" hidden="false" customHeight="false" outlineLevel="0" collapsed="false">
      <c r="A74" s="10" t="n">
        <v>73</v>
      </c>
      <c r="B74" s="10" t="n">
        <v>26</v>
      </c>
      <c r="C74" s="10" t="s">
        <v>27</v>
      </c>
      <c r="D74" s="10" t="n">
        <v>34</v>
      </c>
      <c r="E74" s="11" t="str">
        <f aca="false">IF(B74&lt;50,"Low",IF(B74&lt;70,"Mid","High"))</f>
        <v>Low</v>
      </c>
      <c r="F74" s="11" t="str">
        <f aca="false">IF(D74&lt;24,"Short","Long")</f>
        <v>Long</v>
      </c>
      <c r="G74" s="10" t="s">
        <v>28</v>
      </c>
      <c r="H74" s="11" t="n">
        <f aca="false">IF(G74="Yes",1,0)</f>
        <v>0</v>
      </c>
    </row>
    <row r="75" customFormat="false" ht="15" hidden="false" customHeight="false" outlineLevel="0" collapsed="false">
      <c r="A75" s="10" t="n">
        <v>74</v>
      </c>
      <c r="B75" s="10" t="n">
        <v>51</v>
      </c>
      <c r="C75" s="10" t="s">
        <v>29</v>
      </c>
      <c r="D75" s="10" t="n">
        <v>16</v>
      </c>
      <c r="E75" s="11" t="str">
        <f aca="false">IF(B75&lt;50,"Low",IF(B75&lt;70,"Mid","High"))</f>
        <v>Mid</v>
      </c>
      <c r="F75" s="11" t="str">
        <f aca="false">IF(D75&lt;24,"Short","Long")</f>
        <v>Short</v>
      </c>
      <c r="G75" s="10" t="s">
        <v>28</v>
      </c>
      <c r="H75" s="11" t="n">
        <f aca="false">IF(G75="Yes",1,0)</f>
        <v>0</v>
      </c>
    </row>
    <row r="76" customFormat="false" ht="15" hidden="false" customHeight="false" outlineLevel="0" collapsed="false">
      <c r="A76" s="10" t="n">
        <v>75</v>
      </c>
      <c r="B76" s="10" t="n">
        <v>55</v>
      </c>
      <c r="C76" s="10" t="s">
        <v>29</v>
      </c>
      <c r="D76" s="10" t="n">
        <v>26</v>
      </c>
      <c r="E76" s="11" t="str">
        <f aca="false">IF(B76&lt;50,"Low",IF(B76&lt;70,"Mid","High"))</f>
        <v>Mid</v>
      </c>
      <c r="F76" s="11" t="str">
        <f aca="false">IF(D76&lt;24,"Short","Long")</f>
        <v>Long</v>
      </c>
      <c r="G76" s="10" t="s">
        <v>30</v>
      </c>
      <c r="H76" s="11" t="n">
        <f aca="false">IF(G76="Yes",1,0)</f>
        <v>1</v>
      </c>
    </row>
    <row r="77" customFormat="false" ht="15" hidden="false" customHeight="false" outlineLevel="0" collapsed="false">
      <c r="A77" s="10" t="n">
        <v>76</v>
      </c>
      <c r="B77" s="10" t="n">
        <v>57</v>
      </c>
      <c r="C77" s="10" t="s">
        <v>27</v>
      </c>
      <c r="D77" s="10" t="n">
        <v>37</v>
      </c>
      <c r="E77" s="11" t="str">
        <f aca="false">IF(B77&lt;50,"Low",IF(B77&lt;70,"Mid","High"))</f>
        <v>Mid</v>
      </c>
      <c r="F77" s="11" t="str">
        <f aca="false">IF(D77&lt;24,"Short","Long")</f>
        <v>Long</v>
      </c>
      <c r="G77" s="10" t="s">
        <v>28</v>
      </c>
      <c r="H77" s="11" t="n">
        <f aca="false">IF(G77="Yes",1,0)</f>
        <v>0</v>
      </c>
    </row>
    <row r="78" customFormat="false" ht="15" hidden="false" customHeight="false" outlineLevel="0" collapsed="false">
      <c r="A78" s="10" t="n">
        <v>77</v>
      </c>
      <c r="B78" s="10" t="n">
        <v>58</v>
      </c>
      <c r="C78" s="10" t="s">
        <v>27</v>
      </c>
      <c r="D78" s="10" t="n">
        <v>39</v>
      </c>
      <c r="E78" s="11" t="str">
        <f aca="false">IF(B78&lt;50,"Low",IF(B78&lt;70,"Mid","High"))</f>
        <v>Mid</v>
      </c>
      <c r="F78" s="11" t="str">
        <f aca="false">IF(D78&lt;24,"Short","Long")</f>
        <v>Long</v>
      </c>
      <c r="G78" s="10" t="s">
        <v>28</v>
      </c>
      <c r="H78" s="11" t="n">
        <f aca="false">IF(G78="Yes",1,0)</f>
        <v>0</v>
      </c>
    </row>
    <row r="79" customFormat="false" ht="15" hidden="false" customHeight="false" outlineLevel="0" collapsed="false">
      <c r="A79" s="10" t="n">
        <v>78</v>
      </c>
      <c r="B79" s="10" t="n">
        <v>63</v>
      </c>
      <c r="C79" s="10" t="s">
        <v>29</v>
      </c>
      <c r="D79" s="10" t="n">
        <v>22</v>
      </c>
      <c r="E79" s="11" t="str">
        <f aca="false">IF(B79&lt;50,"Low",IF(B79&lt;70,"Mid","High"))</f>
        <v>Mid</v>
      </c>
      <c r="F79" s="11" t="str">
        <f aca="false">IF(D79&lt;24,"Short","Long")</f>
        <v>Short</v>
      </c>
      <c r="G79" s="10" t="s">
        <v>30</v>
      </c>
      <c r="H79" s="11" t="n">
        <f aca="false">IF(G79="Yes",1,0)</f>
        <v>1</v>
      </c>
    </row>
    <row r="80" customFormat="false" ht="15" hidden="false" customHeight="false" outlineLevel="0" collapsed="false">
      <c r="A80" s="10" t="n">
        <v>79</v>
      </c>
      <c r="B80" s="10" t="n">
        <v>40</v>
      </c>
      <c r="C80" s="10" t="s">
        <v>29</v>
      </c>
      <c r="D80" s="10" t="n">
        <v>22</v>
      </c>
      <c r="E80" s="11" t="str">
        <f aca="false">IF(B80&lt;50,"Low",IF(B80&lt;70,"Mid","High"))</f>
        <v>Low</v>
      </c>
      <c r="F80" s="11" t="str">
        <f aca="false">IF(D80&lt;24,"Short","Long")</f>
        <v>Short</v>
      </c>
      <c r="G80" s="10" t="s">
        <v>28</v>
      </c>
      <c r="H80" s="11" t="n">
        <f aca="false">IF(G80="Yes",1,0)</f>
        <v>0</v>
      </c>
    </row>
    <row r="81" customFormat="false" ht="15" hidden="false" customHeight="false" outlineLevel="0" collapsed="false">
      <c r="A81" s="10" t="n">
        <v>80</v>
      </c>
      <c r="B81" s="10" t="n">
        <v>60</v>
      </c>
      <c r="C81" s="10" t="s">
        <v>27</v>
      </c>
      <c r="D81" s="10" t="n">
        <v>35</v>
      </c>
      <c r="E81" s="11" t="str">
        <f aca="false">IF(B81&lt;50,"Low",IF(B81&lt;70,"Mid","High"))</f>
        <v>Mid</v>
      </c>
      <c r="F81" s="11" t="str">
        <f aca="false">IF(D81&lt;24,"Short","Long")</f>
        <v>Long</v>
      </c>
      <c r="G81" s="10" t="s">
        <v>28</v>
      </c>
      <c r="H81" s="11" t="n">
        <f aca="false">IF(G81="Yes",1,0)</f>
        <v>0</v>
      </c>
    </row>
    <row r="82" customFormat="false" ht="15" hidden="false" customHeight="false" outlineLevel="0" collapsed="false">
      <c r="A82" s="10" t="n">
        <v>81</v>
      </c>
      <c r="B82" s="10" t="n">
        <v>65</v>
      </c>
      <c r="C82" s="10" t="s">
        <v>27</v>
      </c>
      <c r="D82" s="10" t="n">
        <v>26</v>
      </c>
      <c r="E82" s="11" t="str">
        <f aca="false">IF(B82&lt;50,"Low",IF(B82&lt;70,"Mid","High"))</f>
        <v>Mid</v>
      </c>
      <c r="F82" s="11" t="str">
        <f aca="false">IF(D82&lt;24,"Short","Long")</f>
        <v>Long</v>
      </c>
      <c r="G82" s="10" t="s">
        <v>28</v>
      </c>
      <c r="H82" s="11" t="n">
        <f aca="false">IF(G82="Yes",1,0)</f>
        <v>0</v>
      </c>
    </row>
    <row r="83" customFormat="false" ht="15" hidden="false" customHeight="false" outlineLevel="0" collapsed="false">
      <c r="A83" s="10" t="n">
        <v>82</v>
      </c>
      <c r="B83" s="10" t="n">
        <v>80</v>
      </c>
      <c r="C83" s="10" t="s">
        <v>29</v>
      </c>
      <c r="D83" s="10" t="n">
        <v>5</v>
      </c>
      <c r="E83" s="11" t="str">
        <f aca="false">IF(B83&lt;50,"Low",IF(B83&lt;70,"Mid","High"))</f>
        <v>High</v>
      </c>
      <c r="F83" s="11" t="str">
        <f aca="false">IF(D83&lt;24,"Short","Long")</f>
        <v>Short</v>
      </c>
      <c r="G83" s="10" t="s">
        <v>30</v>
      </c>
      <c r="H83" s="11" t="n">
        <f aca="false">IF(G83="Yes",1,0)</f>
        <v>1</v>
      </c>
    </row>
    <row r="84" customFormat="false" ht="15" hidden="false" customHeight="false" outlineLevel="0" collapsed="false">
      <c r="A84" s="10" t="n">
        <v>83</v>
      </c>
      <c r="B84" s="10" t="n">
        <v>69</v>
      </c>
      <c r="C84" s="10" t="s">
        <v>29</v>
      </c>
      <c r="D84" s="10" t="n">
        <v>18</v>
      </c>
      <c r="E84" s="11" t="str">
        <f aca="false">IF(B84&lt;50,"Low",IF(B84&lt;70,"Mid","High"))</f>
        <v>Mid</v>
      </c>
      <c r="F84" s="11" t="str">
        <f aca="false">IF(D84&lt;24,"Short","Long")</f>
        <v>Short</v>
      </c>
      <c r="G84" s="10" t="s">
        <v>30</v>
      </c>
      <c r="H84" s="11" t="n">
        <f aca="false">IF(G84="Yes",1,0)</f>
        <v>1</v>
      </c>
    </row>
    <row r="85" customFormat="false" ht="15" hidden="false" customHeight="false" outlineLevel="0" collapsed="false">
      <c r="A85" s="10" t="n">
        <v>84</v>
      </c>
      <c r="B85" s="10" t="n">
        <v>55</v>
      </c>
      <c r="C85" s="10" t="s">
        <v>27</v>
      </c>
      <c r="D85" s="10" t="n">
        <v>30</v>
      </c>
      <c r="E85" s="11" t="str">
        <f aca="false">IF(B85&lt;50,"Low",IF(B85&lt;70,"Mid","High"))</f>
        <v>Mid</v>
      </c>
      <c r="F85" s="11" t="str">
        <f aca="false">IF(D85&lt;24,"Short","Long")</f>
        <v>Long</v>
      </c>
      <c r="G85" s="10" t="s">
        <v>28</v>
      </c>
      <c r="H85" s="11" t="n">
        <f aca="false">IF(G85="Yes",1,0)</f>
        <v>0</v>
      </c>
    </row>
    <row r="86" customFormat="false" ht="15" hidden="false" customHeight="false" outlineLevel="0" collapsed="false">
      <c r="A86" s="10" t="n">
        <v>85</v>
      </c>
      <c r="B86" s="10" t="n">
        <v>58</v>
      </c>
      <c r="C86" s="10" t="s">
        <v>29</v>
      </c>
      <c r="D86" s="10" t="n">
        <v>18</v>
      </c>
      <c r="E86" s="11" t="str">
        <f aca="false">IF(B86&lt;50,"Low",IF(B86&lt;70,"Mid","High"))</f>
        <v>Mid</v>
      </c>
      <c r="F86" s="11" t="str">
        <f aca="false">IF(D86&lt;24,"Short","Long")</f>
        <v>Short</v>
      </c>
      <c r="G86" s="10" t="s">
        <v>30</v>
      </c>
      <c r="H86" s="11" t="n">
        <f aca="false">IF(G86="Yes",1,0)</f>
        <v>1</v>
      </c>
    </row>
    <row r="87" customFormat="false" ht="15" hidden="false" customHeight="false" outlineLevel="0" collapsed="false">
      <c r="A87" s="10" t="n">
        <v>86</v>
      </c>
      <c r="B87" s="10" t="n">
        <v>65</v>
      </c>
      <c r="C87" s="10" t="s">
        <v>29</v>
      </c>
      <c r="D87" s="10" t="n">
        <v>23</v>
      </c>
      <c r="E87" s="11" t="str">
        <f aca="false">IF(B87&lt;50,"Low",IF(B87&lt;70,"Mid","High"))</f>
        <v>Mid</v>
      </c>
      <c r="F87" s="11" t="str">
        <f aca="false">IF(D87&lt;24,"Short","Long")</f>
        <v>Short</v>
      </c>
      <c r="G87" s="10" t="s">
        <v>28</v>
      </c>
      <c r="H87" s="11" t="n">
        <f aca="false">IF(G87="Yes",1,0)</f>
        <v>0</v>
      </c>
    </row>
    <row r="88" customFormat="false" ht="15" hidden="false" customHeight="false" outlineLevel="0" collapsed="false">
      <c r="A88" s="10" t="n">
        <v>87</v>
      </c>
      <c r="B88" s="10" t="n">
        <v>56</v>
      </c>
      <c r="C88" s="10" t="s">
        <v>29</v>
      </c>
      <c r="D88" s="10" t="n">
        <v>12</v>
      </c>
      <c r="E88" s="11" t="str">
        <f aca="false">IF(B88&lt;50,"Low",IF(B88&lt;70,"Mid","High"))</f>
        <v>Mid</v>
      </c>
      <c r="F88" s="11" t="str">
        <f aca="false">IF(D88&lt;24,"Short","Long")</f>
        <v>Short</v>
      </c>
      <c r="G88" s="10" t="s">
        <v>28</v>
      </c>
      <c r="H88" s="11" t="n">
        <f aca="false">IF(G88="Yes",1,0)</f>
        <v>0</v>
      </c>
    </row>
    <row r="89" customFormat="false" ht="15" hidden="false" customHeight="false" outlineLevel="0" collapsed="false">
      <c r="A89" s="10" t="n">
        <v>88</v>
      </c>
      <c r="B89" s="10" t="n">
        <v>51</v>
      </c>
      <c r="C89" s="10" t="s">
        <v>27</v>
      </c>
      <c r="D89" s="10" t="n">
        <v>43</v>
      </c>
      <c r="E89" s="11" t="str">
        <f aca="false">IF(B89&lt;50,"Low",IF(B89&lt;70,"Mid","High"))</f>
        <v>Mid</v>
      </c>
      <c r="F89" s="11" t="str">
        <f aca="false">IF(D89&lt;24,"Short","Long")</f>
        <v>Long</v>
      </c>
      <c r="G89" s="10" t="s">
        <v>28</v>
      </c>
      <c r="H89" s="11" t="n">
        <f aca="false">IF(G89="Yes",1,0)</f>
        <v>0</v>
      </c>
    </row>
    <row r="90" customFormat="false" ht="15" hidden="false" customHeight="false" outlineLevel="0" collapsed="false">
      <c r="A90" s="10" t="n">
        <v>89</v>
      </c>
      <c r="B90" s="10" t="n">
        <v>64</v>
      </c>
      <c r="C90" s="10" t="s">
        <v>27</v>
      </c>
      <c r="D90" s="10" t="n">
        <v>27</v>
      </c>
      <c r="E90" s="11" t="str">
        <f aca="false">IF(B90&lt;50,"Low",IF(B90&lt;70,"Mid","High"))</f>
        <v>Mid</v>
      </c>
      <c r="F90" s="11" t="str">
        <f aca="false">IF(D90&lt;24,"Short","Long")</f>
        <v>Long</v>
      </c>
      <c r="G90" s="10" t="s">
        <v>28</v>
      </c>
      <c r="H90" s="11" t="n">
        <f aca="false">IF(G90="Yes",1,0)</f>
        <v>0</v>
      </c>
    </row>
    <row r="91" customFormat="false" ht="15" hidden="false" customHeight="false" outlineLevel="0" collapsed="false">
      <c r="A91" s="10" t="n">
        <v>90</v>
      </c>
      <c r="B91" s="10" t="n">
        <v>47</v>
      </c>
      <c r="C91" s="10" t="s">
        <v>27</v>
      </c>
      <c r="D91" s="10" t="n">
        <v>23</v>
      </c>
      <c r="E91" s="11" t="str">
        <f aca="false">IF(B91&lt;50,"Low",IF(B91&lt;70,"Mid","High"))</f>
        <v>Low</v>
      </c>
      <c r="F91" s="11" t="str">
        <f aca="false">IF(D91&lt;24,"Short","Long")</f>
        <v>Short</v>
      </c>
      <c r="G91" s="10" t="s">
        <v>28</v>
      </c>
      <c r="H91" s="11" t="n">
        <f aca="false">IF(G91="Yes",1,0)</f>
        <v>0</v>
      </c>
    </row>
    <row r="92" customFormat="false" ht="15" hidden="false" customHeight="false" outlineLevel="0" collapsed="false">
      <c r="A92" s="10" t="n">
        <v>91</v>
      </c>
      <c r="B92" s="10" t="n">
        <v>41</v>
      </c>
      <c r="C92" s="10" t="s">
        <v>27</v>
      </c>
      <c r="D92" s="10" t="n">
        <v>23</v>
      </c>
      <c r="E92" s="11" t="str">
        <f aca="false">IF(B92&lt;50,"Low",IF(B92&lt;70,"Mid","High"))</f>
        <v>Low</v>
      </c>
      <c r="F92" s="11" t="str">
        <f aca="false">IF(D92&lt;24,"Short","Long")</f>
        <v>Short</v>
      </c>
      <c r="G92" s="10" t="s">
        <v>30</v>
      </c>
      <c r="H92" s="11" t="n">
        <f aca="false">IF(G92="Yes",1,0)</f>
        <v>1</v>
      </c>
    </row>
    <row r="93" customFormat="false" ht="15" hidden="false" customHeight="false" outlineLevel="0" collapsed="false">
      <c r="A93" s="10" t="n">
        <v>92</v>
      </c>
      <c r="B93" s="10" t="n">
        <v>53</v>
      </c>
      <c r="C93" s="10" t="s">
        <v>29</v>
      </c>
      <c r="D93" s="10" t="n">
        <v>6</v>
      </c>
      <c r="E93" s="11" t="str">
        <f aca="false">IF(B93&lt;50,"Low",IF(B93&lt;70,"Mid","High"))</f>
        <v>Mid</v>
      </c>
      <c r="F93" s="11" t="str">
        <f aca="false">IF(D93&lt;24,"Short","Long")</f>
        <v>Short</v>
      </c>
      <c r="G93" s="10" t="s">
        <v>30</v>
      </c>
      <c r="H93" s="11" t="n">
        <f aca="false">IF(G93="Yes",1,0)</f>
        <v>1</v>
      </c>
    </row>
    <row r="94" customFormat="false" ht="15" hidden="false" customHeight="false" outlineLevel="0" collapsed="false">
      <c r="A94" s="10" t="n">
        <v>93</v>
      </c>
      <c r="B94" s="10" t="n">
        <v>48</v>
      </c>
      <c r="C94" s="10" t="s">
        <v>27</v>
      </c>
      <c r="D94" s="10" t="n">
        <v>22</v>
      </c>
      <c r="E94" s="11" t="str">
        <f aca="false">IF(B94&lt;50,"Low",IF(B94&lt;70,"Mid","High"))</f>
        <v>Low</v>
      </c>
      <c r="F94" s="11" t="str">
        <f aca="false">IF(D94&lt;24,"Short","Long")</f>
        <v>Short</v>
      </c>
      <c r="G94" s="10" t="s">
        <v>28</v>
      </c>
      <c r="H94" s="11" t="n">
        <f aca="false">IF(G94="Yes",1,0)</f>
        <v>0</v>
      </c>
    </row>
    <row r="95" customFormat="false" ht="15" hidden="false" customHeight="false" outlineLevel="0" collapsed="false">
      <c r="A95" s="10" t="n">
        <v>94</v>
      </c>
      <c r="B95" s="10" t="n">
        <v>76</v>
      </c>
      <c r="C95" s="10" t="s">
        <v>27</v>
      </c>
      <c r="D95" s="10" t="n">
        <v>23</v>
      </c>
      <c r="E95" s="11" t="str">
        <f aca="false">IF(B95&lt;50,"Low",IF(B95&lt;70,"Mid","High"))</f>
        <v>High</v>
      </c>
      <c r="F95" s="11" t="str">
        <f aca="false">IF(D95&lt;24,"Short","Long")</f>
        <v>Short</v>
      </c>
      <c r="G95" s="10" t="s">
        <v>30</v>
      </c>
      <c r="H95" s="11" t="n">
        <f aca="false">IF(G95="Yes",1,0)</f>
        <v>1</v>
      </c>
    </row>
    <row r="96" customFormat="false" ht="15" hidden="false" customHeight="false" outlineLevel="0" collapsed="false">
      <c r="A96" s="10" t="n">
        <v>95</v>
      </c>
      <c r="B96" s="10" t="n">
        <v>65</v>
      </c>
      <c r="C96" s="10" t="s">
        <v>29</v>
      </c>
      <c r="D96" s="10" t="n">
        <v>13</v>
      </c>
      <c r="E96" s="11" t="str">
        <f aca="false">IF(B96&lt;50,"Low",IF(B96&lt;70,"Mid","High"))</f>
        <v>Mid</v>
      </c>
      <c r="F96" s="11" t="str">
        <f aca="false">IF(D96&lt;24,"Short","Long")</f>
        <v>Short</v>
      </c>
      <c r="G96" s="10" t="s">
        <v>30</v>
      </c>
      <c r="H96" s="11" t="n">
        <f aca="false">IF(G96="Yes",1,0)</f>
        <v>1</v>
      </c>
    </row>
    <row r="97" customFormat="false" ht="15" hidden="false" customHeight="false" outlineLevel="0" collapsed="false">
      <c r="A97" s="10" t="n">
        <v>96</v>
      </c>
      <c r="B97" s="10" t="n">
        <v>57</v>
      </c>
      <c r="C97" s="10" t="s">
        <v>29</v>
      </c>
      <c r="D97" s="10" t="n">
        <v>17</v>
      </c>
      <c r="E97" s="11" t="str">
        <f aca="false">IF(B97&lt;50,"Low",IF(B97&lt;70,"Mid","High"))</f>
        <v>Mid</v>
      </c>
      <c r="F97" s="11" t="str">
        <f aca="false">IF(D97&lt;24,"Short","Long")</f>
        <v>Short</v>
      </c>
      <c r="G97" s="10" t="s">
        <v>30</v>
      </c>
      <c r="H97" s="11" t="n">
        <f aca="false">IF(G97="Yes",1,0)</f>
        <v>1</v>
      </c>
    </row>
    <row r="98" customFormat="false" ht="15" hidden="false" customHeight="false" outlineLevel="0" collapsed="false">
      <c r="A98" s="10" t="n">
        <v>97</v>
      </c>
      <c r="B98" s="10" t="n">
        <v>64</v>
      </c>
      <c r="C98" s="10" t="s">
        <v>27</v>
      </c>
      <c r="D98" s="10" t="n">
        <v>36</v>
      </c>
      <c r="E98" s="11" t="str">
        <f aca="false">IF(B98&lt;50,"Low",IF(B98&lt;70,"Mid","High"))</f>
        <v>Mid</v>
      </c>
      <c r="F98" s="11" t="str">
        <f aca="false">IF(D98&lt;24,"Short","Long")</f>
        <v>Long</v>
      </c>
      <c r="G98" s="10" t="s">
        <v>28</v>
      </c>
      <c r="H98" s="11" t="n">
        <f aca="false">IF(G98="Yes",1,0)</f>
        <v>0</v>
      </c>
    </row>
    <row r="99" customFormat="false" ht="15" hidden="false" customHeight="false" outlineLevel="0" collapsed="false">
      <c r="A99" s="10" t="n">
        <v>98</v>
      </c>
      <c r="B99" s="10" t="n">
        <v>58</v>
      </c>
      <c r="C99" s="10" t="s">
        <v>27</v>
      </c>
      <c r="D99" s="10" t="n">
        <v>33</v>
      </c>
      <c r="E99" s="11" t="str">
        <f aca="false">IF(B99&lt;50,"Low",IF(B99&lt;70,"Mid","High"))</f>
        <v>Mid</v>
      </c>
      <c r="F99" s="11" t="str">
        <f aca="false">IF(D99&lt;24,"Short","Long")</f>
        <v>Long</v>
      </c>
      <c r="G99" s="10" t="s">
        <v>28</v>
      </c>
      <c r="H99" s="11" t="n">
        <f aca="false">IF(G99="Yes",1,0)</f>
        <v>0</v>
      </c>
    </row>
    <row r="100" customFormat="false" ht="15" hidden="false" customHeight="false" outlineLevel="0" collapsed="false">
      <c r="A100" s="10" t="n">
        <v>99</v>
      </c>
      <c r="B100" s="10" t="n">
        <v>89</v>
      </c>
      <c r="C100" s="10" t="s">
        <v>27</v>
      </c>
      <c r="D100" s="10" t="n">
        <v>9</v>
      </c>
      <c r="E100" s="11" t="str">
        <f aca="false">IF(B100&lt;50,"Low",IF(B100&lt;70,"Mid","High"))</f>
        <v>High</v>
      </c>
      <c r="F100" s="11" t="str">
        <f aca="false">IF(D100&lt;24,"Short","Long")</f>
        <v>Short</v>
      </c>
      <c r="G100" s="10" t="s">
        <v>30</v>
      </c>
      <c r="H100" s="11" t="n">
        <f aca="false">IF(G100="Yes",1,0)</f>
        <v>1</v>
      </c>
    </row>
    <row r="101" customFormat="false" ht="15" hidden="false" customHeight="false" outlineLevel="0" collapsed="false">
      <c r="A101" s="10" t="n">
        <v>100</v>
      </c>
      <c r="B101" s="10" t="n">
        <v>66</v>
      </c>
      <c r="C101" s="10" t="s">
        <v>27</v>
      </c>
      <c r="D101" s="10" t="n">
        <v>33</v>
      </c>
      <c r="E101" s="11" t="str">
        <f aca="false">IF(B101&lt;50,"Low",IF(B101&lt;70,"Mid","High"))</f>
        <v>Mid</v>
      </c>
      <c r="F101" s="11" t="str">
        <f aca="false">IF(D101&lt;24,"Short","Long")</f>
        <v>Long</v>
      </c>
      <c r="G101" s="10" t="s">
        <v>28</v>
      </c>
      <c r="H101" s="11" t="n">
        <f aca="false">IF(G101="Yes",1,0)</f>
        <v>0</v>
      </c>
    </row>
    <row r="102" customFormat="false" ht="15" hidden="false" customHeight="false" outlineLevel="0" collapsed="false">
      <c r="A102" s="10" t="n">
        <v>101</v>
      </c>
      <c r="B102" s="10" t="n">
        <v>49</v>
      </c>
      <c r="C102" s="10" t="s">
        <v>29</v>
      </c>
      <c r="D102" s="10" t="n">
        <v>3</v>
      </c>
      <c r="E102" s="11" t="str">
        <f aca="false">IF(B102&lt;50,"Low",IF(B102&lt;70,"Mid","High"))</f>
        <v>Low</v>
      </c>
      <c r="F102" s="11" t="str">
        <f aca="false">IF(D102&lt;24,"Short","Long")</f>
        <v>Short</v>
      </c>
      <c r="G102" s="10" t="s">
        <v>28</v>
      </c>
      <c r="H102" s="11" t="n">
        <f aca="false">IF(G102="Yes",1,0)</f>
        <v>0</v>
      </c>
    </row>
    <row r="103" customFormat="false" ht="15" hidden="false" customHeight="false" outlineLevel="0" collapsed="false">
      <c r="A103" s="10" t="n">
        <v>102</v>
      </c>
      <c r="B103" s="10" t="n">
        <v>47</v>
      </c>
      <c r="C103" s="10" t="s">
        <v>27</v>
      </c>
      <c r="D103" s="10" t="n">
        <v>30</v>
      </c>
      <c r="E103" s="11" t="str">
        <f aca="false">IF(B103&lt;50,"Low",IF(B103&lt;70,"Mid","High"))</f>
        <v>Low</v>
      </c>
      <c r="F103" s="11" t="str">
        <f aca="false">IF(D103&lt;24,"Short","Long")</f>
        <v>Long</v>
      </c>
      <c r="G103" s="10" t="s">
        <v>28</v>
      </c>
      <c r="H103" s="11" t="n">
        <f aca="false">IF(G103="Yes",1,0)</f>
        <v>0</v>
      </c>
    </row>
    <row r="104" customFormat="false" ht="15" hidden="false" customHeight="false" outlineLevel="0" collapsed="false">
      <c r="A104" s="10" t="n">
        <v>103</v>
      </c>
      <c r="B104" s="10" t="n">
        <v>37</v>
      </c>
      <c r="C104" s="10" t="s">
        <v>29</v>
      </c>
      <c r="D104" s="10" t="n">
        <v>19</v>
      </c>
      <c r="E104" s="11" t="str">
        <f aca="false">IF(B104&lt;50,"Low",IF(B104&lt;70,"Mid","High"))</f>
        <v>Low</v>
      </c>
      <c r="F104" s="11" t="str">
        <f aca="false">IF(D104&lt;24,"Short","Long")</f>
        <v>Short</v>
      </c>
      <c r="G104" s="10" t="s">
        <v>28</v>
      </c>
      <c r="H104" s="11" t="n">
        <f aca="false">IF(G104="Yes",1,0)</f>
        <v>0</v>
      </c>
    </row>
    <row r="105" customFormat="false" ht="15" hidden="false" customHeight="false" outlineLevel="0" collapsed="false">
      <c r="A105" s="10" t="n">
        <v>104</v>
      </c>
      <c r="B105" s="10" t="n">
        <v>66</v>
      </c>
      <c r="C105" s="10" t="s">
        <v>27</v>
      </c>
      <c r="D105" s="10" t="n">
        <v>37</v>
      </c>
      <c r="E105" s="11" t="str">
        <f aca="false">IF(B105&lt;50,"Low",IF(B105&lt;70,"Mid","High"))</f>
        <v>Mid</v>
      </c>
      <c r="F105" s="11" t="str">
        <f aca="false">IF(D105&lt;24,"Short","Long")</f>
        <v>Long</v>
      </c>
      <c r="G105" s="10" t="s">
        <v>28</v>
      </c>
      <c r="H105" s="11" t="n">
        <f aca="false">IF(G105="Yes",1,0)</f>
        <v>0</v>
      </c>
    </row>
    <row r="106" customFormat="false" ht="15" hidden="false" customHeight="false" outlineLevel="0" collapsed="false">
      <c r="A106" s="10" t="n">
        <v>105</v>
      </c>
      <c r="B106" s="10" t="n">
        <v>65</v>
      </c>
      <c r="C106" s="10" t="s">
        <v>29</v>
      </c>
      <c r="D106" s="10" t="n">
        <v>23</v>
      </c>
      <c r="E106" s="11" t="str">
        <f aca="false">IF(B106&lt;50,"Low",IF(B106&lt;70,"Mid","High"))</f>
        <v>Mid</v>
      </c>
      <c r="F106" s="11" t="str">
        <f aca="false">IF(D106&lt;24,"Short","Long")</f>
        <v>Short</v>
      </c>
      <c r="G106" s="10" t="s">
        <v>30</v>
      </c>
      <c r="H106" s="11" t="n">
        <f aca="false">IF(G106="Yes",1,0)</f>
        <v>1</v>
      </c>
    </row>
    <row r="107" customFormat="false" ht="15" hidden="false" customHeight="false" outlineLevel="0" collapsed="false">
      <c r="A107" s="10" t="n">
        <v>106</v>
      </c>
      <c r="B107" s="10" t="n">
        <v>61</v>
      </c>
      <c r="C107" s="10" t="s">
        <v>27</v>
      </c>
      <c r="D107" s="10" t="n">
        <v>38</v>
      </c>
      <c r="E107" s="11" t="str">
        <f aca="false">IF(B107&lt;50,"Low",IF(B107&lt;70,"Mid","High"))</f>
        <v>Mid</v>
      </c>
      <c r="F107" s="11" t="str">
        <f aca="false">IF(D107&lt;24,"Short","Long")</f>
        <v>Long</v>
      </c>
      <c r="G107" s="10" t="s">
        <v>28</v>
      </c>
      <c r="H107" s="11" t="n">
        <f aca="false">IF(G107="Yes",1,0)</f>
        <v>0</v>
      </c>
    </row>
    <row r="108" customFormat="false" ht="15" hidden="false" customHeight="false" outlineLevel="0" collapsed="false">
      <c r="A108" s="10" t="n">
        <v>107</v>
      </c>
      <c r="B108" s="10" t="n">
        <v>52</v>
      </c>
      <c r="C108" s="10" t="s">
        <v>29</v>
      </c>
      <c r="D108" s="10" t="n">
        <v>22</v>
      </c>
      <c r="E108" s="11" t="str">
        <f aca="false">IF(B108&lt;50,"Low",IF(B108&lt;70,"Mid","High"))</f>
        <v>Mid</v>
      </c>
      <c r="F108" s="11" t="str">
        <f aca="false">IF(D108&lt;24,"Short","Long")</f>
        <v>Short</v>
      </c>
      <c r="G108" s="10" t="s">
        <v>28</v>
      </c>
      <c r="H108" s="11" t="n">
        <f aca="false">IF(G108="Yes",1,0)</f>
        <v>0</v>
      </c>
    </row>
    <row r="109" customFormat="false" ht="15" hidden="false" customHeight="false" outlineLevel="0" collapsed="false">
      <c r="A109" s="10" t="n">
        <v>108</v>
      </c>
      <c r="B109" s="10" t="n">
        <v>65</v>
      </c>
      <c r="C109" s="10" t="s">
        <v>29</v>
      </c>
      <c r="D109" s="10" t="n">
        <v>18</v>
      </c>
      <c r="E109" s="11" t="str">
        <f aca="false">IF(B109&lt;50,"Low",IF(B109&lt;70,"Mid","High"))</f>
        <v>Mid</v>
      </c>
      <c r="F109" s="11" t="str">
        <f aca="false">IF(D109&lt;24,"Short","Long")</f>
        <v>Short</v>
      </c>
      <c r="G109" s="10" t="s">
        <v>28</v>
      </c>
      <c r="H109" s="11" t="n">
        <f aca="false">IF(G109="Yes",1,0)</f>
        <v>0</v>
      </c>
    </row>
    <row r="110" customFormat="false" ht="15" hidden="false" customHeight="false" outlineLevel="0" collapsed="false">
      <c r="A110" s="10" t="n">
        <v>109</v>
      </c>
      <c r="B110" s="10" t="n">
        <v>56</v>
      </c>
      <c r="C110" s="10" t="s">
        <v>27</v>
      </c>
      <c r="D110" s="10" t="n">
        <v>38</v>
      </c>
      <c r="E110" s="11" t="str">
        <f aca="false">IF(B110&lt;50,"Low",IF(B110&lt;70,"Mid","High"))</f>
        <v>Mid</v>
      </c>
      <c r="F110" s="11" t="str">
        <f aca="false">IF(D110&lt;24,"Short","Long")</f>
        <v>Long</v>
      </c>
      <c r="G110" s="10" t="s">
        <v>28</v>
      </c>
      <c r="H110" s="11" t="n">
        <f aca="false">IF(G110="Yes",1,0)</f>
        <v>0</v>
      </c>
    </row>
    <row r="111" customFormat="false" ht="15" hidden="false" customHeight="false" outlineLevel="0" collapsed="false">
      <c r="A111" s="10" t="n">
        <v>110</v>
      </c>
      <c r="B111" s="10" t="n">
        <v>49</v>
      </c>
      <c r="C111" s="10" t="s">
        <v>27</v>
      </c>
      <c r="D111" s="10" t="n">
        <v>29</v>
      </c>
      <c r="E111" s="11" t="str">
        <f aca="false">IF(B111&lt;50,"Low",IF(B111&lt;70,"Mid","High"))</f>
        <v>Low</v>
      </c>
      <c r="F111" s="11" t="str">
        <f aca="false">IF(D111&lt;24,"Short","Long")</f>
        <v>Long</v>
      </c>
      <c r="G111" s="10" t="s">
        <v>28</v>
      </c>
      <c r="H111" s="11" t="n">
        <f aca="false">IF(G111="Yes",1,0)</f>
        <v>0</v>
      </c>
    </row>
    <row r="112" customFormat="false" ht="15" hidden="false" customHeight="false" outlineLevel="0" collapsed="false">
      <c r="A112" s="10" t="n">
        <v>111</v>
      </c>
      <c r="B112" s="10" t="n">
        <v>65</v>
      </c>
      <c r="C112" s="10" t="s">
        <v>29</v>
      </c>
      <c r="D112" s="10" t="n">
        <v>15</v>
      </c>
      <c r="E112" s="11" t="str">
        <f aca="false">IF(B112&lt;50,"Low",IF(B112&lt;70,"Mid","High"))</f>
        <v>Mid</v>
      </c>
      <c r="F112" s="11" t="str">
        <f aca="false">IF(D112&lt;24,"Short","Long")</f>
        <v>Short</v>
      </c>
      <c r="G112" s="10" t="s">
        <v>30</v>
      </c>
      <c r="H112" s="11" t="n">
        <f aca="false">IF(G112="Yes",1,0)</f>
        <v>1</v>
      </c>
    </row>
    <row r="113" customFormat="false" ht="15" hidden="false" customHeight="false" outlineLevel="0" collapsed="false">
      <c r="A113" s="10" t="n">
        <v>112</v>
      </c>
      <c r="B113" s="10" t="n">
        <v>68</v>
      </c>
      <c r="C113" s="10" t="s">
        <v>29</v>
      </c>
      <c r="D113" s="10" t="n">
        <v>4</v>
      </c>
      <c r="E113" s="11" t="str">
        <f aca="false">IF(B113&lt;50,"Low",IF(B113&lt;70,"Mid","High"))</f>
        <v>Mid</v>
      </c>
      <c r="F113" s="11" t="str">
        <f aca="false">IF(D113&lt;24,"Short","Long")</f>
        <v>Short</v>
      </c>
      <c r="G113" s="10" t="s">
        <v>30</v>
      </c>
      <c r="H113" s="11" t="n">
        <f aca="false">IF(G113="Yes",1,0)</f>
        <v>1</v>
      </c>
    </row>
    <row r="114" customFormat="false" ht="15" hidden="false" customHeight="false" outlineLevel="0" collapsed="false">
      <c r="A114" s="10" t="n">
        <v>113</v>
      </c>
      <c r="B114" s="10" t="n">
        <v>94</v>
      </c>
      <c r="C114" s="10" t="s">
        <v>27</v>
      </c>
      <c r="D114" s="10" t="n">
        <v>31</v>
      </c>
      <c r="E114" s="11" t="str">
        <f aca="false">IF(B114&lt;50,"Low",IF(B114&lt;70,"Mid","High"))</f>
        <v>High</v>
      </c>
      <c r="F114" s="11" t="str">
        <f aca="false">IF(D114&lt;24,"Short","Long")</f>
        <v>Long</v>
      </c>
      <c r="G114" s="10" t="s">
        <v>30</v>
      </c>
      <c r="H114" s="11" t="n">
        <f aca="false">IF(G114="Yes",1,0)</f>
        <v>1</v>
      </c>
    </row>
    <row r="115" customFormat="false" ht="15" hidden="false" customHeight="false" outlineLevel="0" collapsed="false">
      <c r="A115" s="10" t="n">
        <v>114</v>
      </c>
      <c r="B115" s="10" t="n">
        <v>45</v>
      </c>
      <c r="C115" s="10" t="s">
        <v>29</v>
      </c>
      <c r="D115" s="10" t="n">
        <v>16</v>
      </c>
      <c r="E115" s="11" t="str">
        <f aca="false">IF(B115&lt;50,"Low",IF(B115&lt;70,"Mid","High"))</f>
        <v>Low</v>
      </c>
      <c r="F115" s="11" t="str">
        <f aca="false">IF(D115&lt;24,"Short","Long")</f>
        <v>Short</v>
      </c>
      <c r="G115" s="10" t="s">
        <v>28</v>
      </c>
      <c r="H115" s="11" t="n">
        <f aca="false">IF(G115="Yes",1,0)</f>
        <v>0</v>
      </c>
    </row>
    <row r="116" customFormat="false" ht="15" hidden="false" customHeight="false" outlineLevel="0" collapsed="false">
      <c r="A116" s="10" t="n">
        <v>115</v>
      </c>
      <c r="B116" s="10" t="n">
        <v>64</v>
      </c>
      <c r="C116" s="10" t="s">
        <v>29</v>
      </c>
      <c r="D116" s="10" t="n">
        <v>12</v>
      </c>
      <c r="E116" s="11" t="str">
        <f aca="false">IF(B116&lt;50,"Low",IF(B116&lt;70,"Mid","High"))</f>
        <v>Mid</v>
      </c>
      <c r="F116" s="11" t="str">
        <f aca="false">IF(D116&lt;24,"Short","Long")</f>
        <v>Short</v>
      </c>
      <c r="G116" s="10" t="s">
        <v>30</v>
      </c>
      <c r="H116" s="11" t="n">
        <f aca="false">IF(G116="Yes",1,0)</f>
        <v>1</v>
      </c>
    </row>
    <row r="117" customFormat="false" ht="15" hidden="false" customHeight="false" outlineLevel="0" collapsed="false">
      <c r="A117" s="10" t="n">
        <v>116</v>
      </c>
      <c r="B117" s="10" t="n">
        <v>68</v>
      </c>
      <c r="C117" s="10" t="s">
        <v>27</v>
      </c>
      <c r="D117" s="10" t="n">
        <v>26</v>
      </c>
      <c r="E117" s="11" t="str">
        <f aca="false">IF(B117&lt;50,"Low",IF(B117&lt;70,"Mid","High"))</f>
        <v>Mid</v>
      </c>
      <c r="F117" s="11" t="str">
        <f aca="false">IF(D117&lt;24,"Short","Long")</f>
        <v>Long</v>
      </c>
      <c r="G117" s="10" t="s">
        <v>28</v>
      </c>
      <c r="H117" s="11" t="n">
        <f aca="false">IF(G117="Yes",1,0)</f>
        <v>0</v>
      </c>
    </row>
    <row r="118" customFormat="false" ht="15" hidden="false" customHeight="false" outlineLevel="0" collapsed="false">
      <c r="A118" s="10" t="n">
        <v>117</v>
      </c>
      <c r="B118" s="10" t="n">
        <v>80</v>
      </c>
      <c r="C118" s="10" t="s">
        <v>29</v>
      </c>
      <c r="D118" s="10" t="n">
        <v>20</v>
      </c>
      <c r="E118" s="11" t="str">
        <f aca="false">IF(B118&lt;50,"Low",IF(B118&lt;70,"Mid","High"))</f>
        <v>High</v>
      </c>
      <c r="F118" s="11" t="str">
        <f aca="false">IF(D118&lt;24,"Short","Long")</f>
        <v>Short</v>
      </c>
      <c r="G118" s="10" t="s">
        <v>30</v>
      </c>
      <c r="H118" s="11" t="n">
        <f aca="false">IF(G118="Yes",1,0)</f>
        <v>1</v>
      </c>
    </row>
    <row r="119" customFormat="false" ht="15" hidden="false" customHeight="false" outlineLevel="0" collapsed="false">
      <c r="A119" s="10" t="n">
        <v>118</v>
      </c>
      <c r="B119" s="10" t="n">
        <v>44</v>
      </c>
      <c r="C119" s="10" t="s">
        <v>29</v>
      </c>
      <c r="D119" s="10" t="n">
        <v>17</v>
      </c>
      <c r="E119" s="11" t="str">
        <f aca="false">IF(B119&lt;50,"Low",IF(B119&lt;70,"Mid","High"))</f>
        <v>Low</v>
      </c>
      <c r="F119" s="11" t="str">
        <f aca="false">IF(D119&lt;24,"Short","Long")</f>
        <v>Short</v>
      </c>
      <c r="G119" s="10" t="s">
        <v>28</v>
      </c>
      <c r="H119" s="11" t="n">
        <f aca="false">IF(G119="Yes",1,0)</f>
        <v>0</v>
      </c>
    </row>
    <row r="120" customFormat="false" ht="15" hidden="false" customHeight="false" outlineLevel="0" collapsed="false">
      <c r="A120" s="10" t="n">
        <v>119</v>
      </c>
      <c r="B120" s="10" t="n">
        <v>62</v>
      </c>
      <c r="C120" s="10" t="s">
        <v>27</v>
      </c>
      <c r="D120" s="10" t="n">
        <v>32</v>
      </c>
      <c r="E120" s="11" t="str">
        <f aca="false">IF(B120&lt;50,"Low",IF(B120&lt;70,"Mid","High"))</f>
        <v>Mid</v>
      </c>
      <c r="F120" s="11" t="str">
        <f aca="false">IF(D120&lt;24,"Short","Long")</f>
        <v>Long</v>
      </c>
      <c r="G120" s="10" t="s">
        <v>28</v>
      </c>
      <c r="H120" s="11" t="n">
        <f aca="false">IF(G120="Yes",1,0)</f>
        <v>0</v>
      </c>
    </row>
    <row r="121" customFormat="false" ht="15" hidden="false" customHeight="false" outlineLevel="0" collapsed="false">
      <c r="A121" s="10" t="n">
        <v>120</v>
      </c>
      <c r="B121" s="10" t="n">
        <v>76</v>
      </c>
      <c r="C121" s="10" t="s">
        <v>27</v>
      </c>
      <c r="D121" s="10" t="n">
        <v>27</v>
      </c>
      <c r="E121" s="11" t="str">
        <f aca="false">IF(B121&lt;50,"Low",IF(B121&lt;70,"Mid","High"))</f>
        <v>High</v>
      </c>
      <c r="F121" s="11" t="str">
        <f aca="false">IF(D121&lt;24,"Short","Long")</f>
        <v>Long</v>
      </c>
      <c r="G121" s="10" t="s">
        <v>28</v>
      </c>
      <c r="H121" s="11" t="n">
        <f aca="false">IF(G121="Yes",1,0)</f>
        <v>0</v>
      </c>
    </row>
    <row r="122" customFormat="false" ht="15" hidden="false" customHeight="false" outlineLevel="0" collapsed="false">
      <c r="A122" s="10" t="n">
        <v>121</v>
      </c>
      <c r="B122" s="10" t="n">
        <v>65</v>
      </c>
      <c r="C122" s="10" t="s">
        <v>27</v>
      </c>
      <c r="D122" s="10" t="n">
        <v>9</v>
      </c>
      <c r="E122" s="11" t="str">
        <f aca="false">IF(B122&lt;50,"Low",IF(B122&lt;70,"Mid","High"))</f>
        <v>Mid</v>
      </c>
      <c r="F122" s="11" t="str">
        <f aca="false">IF(D122&lt;24,"Short","Long")</f>
        <v>Short</v>
      </c>
      <c r="G122" s="10" t="s">
        <v>28</v>
      </c>
      <c r="H122" s="11" t="n">
        <f aca="false">IF(G122="Yes",1,0)</f>
        <v>0</v>
      </c>
    </row>
    <row r="123" customFormat="false" ht="15" hidden="false" customHeight="false" outlineLevel="0" collapsed="false">
      <c r="A123" s="10" t="n">
        <v>122</v>
      </c>
      <c r="B123" s="10" t="n">
        <v>58</v>
      </c>
      <c r="C123" s="10" t="s">
        <v>29</v>
      </c>
      <c r="D123" s="10" t="n">
        <v>24</v>
      </c>
      <c r="E123" s="11" t="str">
        <f aca="false">IF(B123&lt;50,"Low",IF(B123&lt;70,"Mid","High"))</f>
        <v>Mid</v>
      </c>
      <c r="F123" s="11" t="str">
        <f aca="false">IF(D123&lt;24,"Short","Long")</f>
        <v>Long</v>
      </c>
      <c r="G123" s="10" t="s">
        <v>30</v>
      </c>
      <c r="H123" s="11" t="n">
        <f aca="false">IF(G123="Yes",1,0)</f>
        <v>1</v>
      </c>
    </row>
    <row r="124" customFormat="false" ht="15" hidden="false" customHeight="false" outlineLevel="0" collapsed="false">
      <c r="A124" s="10" t="n">
        <v>123</v>
      </c>
      <c r="B124" s="10" t="n">
        <v>62</v>
      </c>
      <c r="C124" s="10" t="s">
        <v>27</v>
      </c>
      <c r="D124" s="10" t="n">
        <v>27</v>
      </c>
      <c r="E124" s="11" t="str">
        <f aca="false">IF(B124&lt;50,"Low",IF(B124&lt;70,"Mid","High"))</f>
        <v>Mid</v>
      </c>
      <c r="F124" s="11" t="str">
        <f aca="false">IF(D124&lt;24,"Short","Long")</f>
        <v>Long</v>
      </c>
      <c r="G124" s="10" t="s">
        <v>28</v>
      </c>
      <c r="H124" s="11" t="n">
        <f aca="false">IF(G124="Yes",1,0)</f>
        <v>0</v>
      </c>
    </row>
    <row r="125" customFormat="false" ht="15" hidden="false" customHeight="false" outlineLevel="0" collapsed="false">
      <c r="A125" s="10" t="n">
        <v>124</v>
      </c>
      <c r="B125" s="10" t="n">
        <v>53</v>
      </c>
      <c r="C125" s="10" t="s">
        <v>27</v>
      </c>
      <c r="D125" s="10" t="n">
        <v>31</v>
      </c>
      <c r="E125" s="11" t="str">
        <f aca="false">IF(B125&lt;50,"Low",IF(B125&lt;70,"Mid","High"))</f>
        <v>Mid</v>
      </c>
      <c r="F125" s="11" t="str">
        <f aca="false">IF(D125&lt;24,"Short","Long")</f>
        <v>Long</v>
      </c>
      <c r="G125" s="10" t="s">
        <v>28</v>
      </c>
      <c r="H125" s="11" t="n">
        <f aca="false">IF(G125="Yes",1,0)</f>
        <v>0</v>
      </c>
    </row>
    <row r="126" customFormat="false" ht="15" hidden="false" customHeight="false" outlineLevel="0" collapsed="false">
      <c r="A126" s="10" t="n">
        <v>125</v>
      </c>
      <c r="B126" s="10" t="n">
        <v>61</v>
      </c>
      <c r="C126" s="10" t="s">
        <v>29</v>
      </c>
      <c r="D126" s="10" t="n">
        <v>14</v>
      </c>
      <c r="E126" s="11" t="str">
        <f aca="false">IF(B126&lt;50,"Low",IF(B126&lt;70,"Mid","High"))</f>
        <v>Mid</v>
      </c>
      <c r="F126" s="11" t="str">
        <f aca="false">IF(D126&lt;24,"Short","Long")</f>
        <v>Short</v>
      </c>
      <c r="G126" s="10" t="s">
        <v>30</v>
      </c>
      <c r="H126" s="11" t="n">
        <f aca="false">IF(G126="Yes",1,0)</f>
        <v>1</v>
      </c>
    </row>
    <row r="127" customFormat="false" ht="15" hidden="false" customHeight="false" outlineLevel="0" collapsed="false">
      <c r="A127" s="10" t="n">
        <v>126</v>
      </c>
      <c r="B127" s="10" t="n">
        <v>54</v>
      </c>
      <c r="C127" s="10" t="s">
        <v>27</v>
      </c>
      <c r="D127" s="10" t="n">
        <v>26</v>
      </c>
      <c r="E127" s="11" t="str">
        <f aca="false">IF(B127&lt;50,"Low",IF(B127&lt;70,"Mid","High"))</f>
        <v>Mid</v>
      </c>
      <c r="F127" s="11" t="str">
        <f aca="false">IF(D127&lt;24,"Short","Long")</f>
        <v>Long</v>
      </c>
      <c r="G127" s="10" t="s">
        <v>28</v>
      </c>
      <c r="H127" s="11" t="n">
        <f aca="false">IF(G127="Yes",1,0)</f>
        <v>0</v>
      </c>
    </row>
    <row r="128" customFormat="false" ht="15" hidden="false" customHeight="false" outlineLevel="0" collapsed="false">
      <c r="A128" s="10" t="n">
        <v>127</v>
      </c>
      <c r="B128" s="10" t="n">
        <v>62</v>
      </c>
      <c r="C128" s="10" t="s">
        <v>29</v>
      </c>
      <c r="D128" s="10" t="n">
        <v>17</v>
      </c>
      <c r="E128" s="11" t="str">
        <f aca="false">IF(B128&lt;50,"Low",IF(B128&lt;70,"Mid","High"))</f>
        <v>Mid</v>
      </c>
      <c r="F128" s="11" t="str">
        <f aca="false">IF(D128&lt;24,"Short","Long")</f>
        <v>Short</v>
      </c>
      <c r="G128" s="10" t="s">
        <v>30</v>
      </c>
      <c r="H128" s="11" t="n">
        <f aca="false">IF(G128="Yes",1,0)</f>
        <v>1</v>
      </c>
    </row>
    <row r="129" customFormat="false" ht="15" hidden="false" customHeight="false" outlineLevel="0" collapsed="false">
      <c r="A129" s="10" t="n">
        <v>128</v>
      </c>
      <c r="B129" s="10" t="n">
        <v>58</v>
      </c>
      <c r="C129" s="10" t="s">
        <v>29</v>
      </c>
      <c r="D129" s="10" t="n">
        <v>15</v>
      </c>
      <c r="E129" s="11" t="str">
        <f aca="false">IF(B129&lt;50,"Low",IF(B129&lt;70,"Mid","High"))</f>
        <v>Mid</v>
      </c>
      <c r="F129" s="11" t="str">
        <f aca="false">IF(D129&lt;24,"Short","Long")</f>
        <v>Short</v>
      </c>
      <c r="G129" s="10" t="s">
        <v>30</v>
      </c>
      <c r="H129" s="11" t="n">
        <f aca="false">IF(G129="Yes",1,0)</f>
        <v>1</v>
      </c>
    </row>
    <row r="130" customFormat="false" ht="15" hidden="false" customHeight="false" outlineLevel="0" collapsed="false">
      <c r="A130" s="10" t="n">
        <v>129</v>
      </c>
      <c r="B130" s="10" t="n">
        <v>59</v>
      </c>
      <c r="C130" s="10" t="s">
        <v>27</v>
      </c>
      <c r="D130" s="10" t="n">
        <v>21</v>
      </c>
      <c r="E130" s="11" t="str">
        <f aca="false">IF(B130&lt;50,"Low",IF(B130&lt;70,"Mid","High"))</f>
        <v>Mid</v>
      </c>
      <c r="F130" s="11" t="str">
        <f aca="false">IF(D130&lt;24,"Short","Long")</f>
        <v>Short</v>
      </c>
      <c r="G130" s="10" t="s">
        <v>28</v>
      </c>
      <c r="H130" s="11" t="n">
        <f aca="false">IF(G130="Yes",1,0)</f>
        <v>0</v>
      </c>
    </row>
    <row r="131" customFormat="false" ht="15" hidden="false" customHeight="false" outlineLevel="0" collapsed="false">
      <c r="A131" s="10" t="n">
        <v>130</v>
      </c>
      <c r="B131" s="10" t="n">
        <v>57</v>
      </c>
      <c r="C131" s="10" t="s">
        <v>27</v>
      </c>
      <c r="D131" s="10" t="n">
        <v>26</v>
      </c>
      <c r="E131" s="11" t="str">
        <f aca="false">IF(B131&lt;50,"Low",IF(B131&lt;70,"Mid","High"))</f>
        <v>Mid</v>
      </c>
      <c r="F131" s="11" t="str">
        <f aca="false">IF(D131&lt;24,"Short","Long")</f>
        <v>Long</v>
      </c>
      <c r="G131" s="10" t="s">
        <v>28</v>
      </c>
      <c r="H131" s="11" t="n">
        <f aca="false">IF(G131="Yes",1,0)</f>
        <v>0</v>
      </c>
    </row>
    <row r="132" customFormat="false" ht="15" hidden="false" customHeight="false" outlineLevel="0" collapsed="false">
      <c r="A132" s="10" t="n">
        <v>131</v>
      </c>
      <c r="B132" s="10" t="n">
        <v>57</v>
      </c>
      <c r="C132" s="10" t="s">
        <v>27</v>
      </c>
      <c r="D132" s="10" t="n">
        <v>30</v>
      </c>
      <c r="E132" s="11" t="str">
        <f aca="false">IF(B132&lt;50,"Low",IF(B132&lt;70,"Mid","High"))</f>
        <v>Mid</v>
      </c>
      <c r="F132" s="11" t="str">
        <f aca="false">IF(D132&lt;24,"Short","Long")</f>
        <v>Long</v>
      </c>
      <c r="G132" s="10" t="s">
        <v>30</v>
      </c>
      <c r="H132" s="11" t="n">
        <f aca="false">IF(G132="Yes",1,0)</f>
        <v>1</v>
      </c>
    </row>
    <row r="133" customFormat="false" ht="15" hidden="false" customHeight="false" outlineLevel="0" collapsed="false">
      <c r="A133" s="10" t="n">
        <v>132</v>
      </c>
      <c r="B133" s="10" t="n">
        <v>46</v>
      </c>
      <c r="C133" s="10" t="s">
        <v>29</v>
      </c>
      <c r="D133" s="10" t="n">
        <v>12</v>
      </c>
      <c r="E133" s="11" t="str">
        <f aca="false">IF(B133&lt;50,"Low",IF(B133&lt;70,"Mid","High"))</f>
        <v>Low</v>
      </c>
      <c r="F133" s="11" t="str">
        <f aca="false">IF(D133&lt;24,"Short","Long")</f>
        <v>Short</v>
      </c>
      <c r="G133" s="10" t="s">
        <v>28</v>
      </c>
      <c r="H133" s="11" t="n">
        <f aca="false">IF(G133="Yes",1,0)</f>
        <v>0</v>
      </c>
    </row>
    <row r="134" customFormat="false" ht="15" hidden="false" customHeight="false" outlineLevel="0" collapsed="false">
      <c r="A134" s="10" t="n">
        <v>133</v>
      </c>
      <c r="B134" s="10" t="n">
        <v>69</v>
      </c>
      <c r="C134" s="10" t="s">
        <v>27</v>
      </c>
      <c r="D134" s="10" t="n">
        <v>39</v>
      </c>
      <c r="E134" s="11" t="str">
        <f aca="false">IF(B134&lt;50,"Low",IF(B134&lt;70,"Mid","High"))</f>
        <v>Mid</v>
      </c>
      <c r="F134" s="11" t="str">
        <f aca="false">IF(D134&lt;24,"Short","Long")</f>
        <v>Long</v>
      </c>
      <c r="G134" s="10" t="s">
        <v>28</v>
      </c>
      <c r="H134" s="11" t="n">
        <f aca="false">IF(G134="Yes",1,0)</f>
        <v>0</v>
      </c>
    </row>
    <row r="135" customFormat="false" ht="15" hidden="false" customHeight="false" outlineLevel="0" collapsed="false">
      <c r="A135" s="10" t="n">
        <v>134</v>
      </c>
      <c r="B135" s="10" t="n">
        <v>65</v>
      </c>
      <c r="C135" s="10" t="s">
        <v>29</v>
      </c>
      <c r="D135" s="10" t="n">
        <v>17</v>
      </c>
      <c r="E135" s="11" t="str">
        <f aca="false">IF(B135&lt;50,"Low",IF(B135&lt;70,"Mid","High"))</f>
        <v>Mid</v>
      </c>
      <c r="F135" s="11" t="str">
        <f aca="false">IF(D135&lt;24,"Short","Long")</f>
        <v>Short</v>
      </c>
      <c r="G135" s="10" t="s">
        <v>30</v>
      </c>
      <c r="H135" s="11" t="n">
        <f aca="false">IF(G135="Yes",1,0)</f>
        <v>1</v>
      </c>
    </row>
    <row r="136" customFormat="false" ht="15" hidden="false" customHeight="false" outlineLevel="0" collapsed="false">
      <c r="A136" s="10" t="n">
        <v>135</v>
      </c>
      <c r="B136" s="10" t="n">
        <v>55</v>
      </c>
      <c r="C136" s="10" t="s">
        <v>27</v>
      </c>
      <c r="D136" s="10" t="n">
        <v>26</v>
      </c>
      <c r="E136" s="11" t="str">
        <f aca="false">IF(B136&lt;50,"Low",IF(B136&lt;70,"Mid","High"))</f>
        <v>Mid</v>
      </c>
      <c r="F136" s="11" t="str">
        <f aca="false">IF(D136&lt;24,"Short","Long")</f>
        <v>Long</v>
      </c>
      <c r="G136" s="10" t="s">
        <v>28</v>
      </c>
      <c r="H136" s="11" t="n">
        <f aca="false">IF(G136="Yes",1,0)</f>
        <v>0</v>
      </c>
    </row>
    <row r="137" customFormat="false" ht="15" hidden="false" customHeight="false" outlineLevel="0" collapsed="false">
      <c r="A137" s="10" t="n">
        <v>136</v>
      </c>
      <c r="B137" s="10" t="n">
        <v>54</v>
      </c>
      <c r="C137" s="10" t="s">
        <v>29</v>
      </c>
      <c r="D137" s="10" t="n">
        <v>14</v>
      </c>
      <c r="E137" s="11" t="str">
        <f aca="false">IF(B137&lt;50,"Low",IF(B137&lt;70,"Mid","High"))</f>
        <v>Mid</v>
      </c>
      <c r="F137" s="11" t="str">
        <f aca="false">IF(D137&lt;24,"Short","Long")</f>
        <v>Short</v>
      </c>
      <c r="G137" s="10" t="s">
        <v>28</v>
      </c>
      <c r="H137" s="11" t="n">
        <f aca="false">IF(G137="Yes",1,0)</f>
        <v>0</v>
      </c>
    </row>
    <row r="138" customFormat="false" ht="15" hidden="false" customHeight="false" outlineLevel="0" collapsed="false">
      <c r="A138" s="10" t="n">
        <v>137</v>
      </c>
      <c r="B138" s="10" t="n">
        <v>64</v>
      </c>
      <c r="C138" s="10" t="s">
        <v>27</v>
      </c>
      <c r="D138" s="10" t="n">
        <v>37</v>
      </c>
      <c r="E138" s="11" t="str">
        <f aca="false">IF(B138&lt;50,"Low",IF(B138&lt;70,"Mid","High"))</f>
        <v>Mid</v>
      </c>
      <c r="F138" s="11" t="str">
        <f aca="false">IF(D138&lt;24,"Short","Long")</f>
        <v>Long</v>
      </c>
      <c r="G138" s="10" t="s">
        <v>28</v>
      </c>
      <c r="H138" s="11" t="n">
        <f aca="false">IF(G138="Yes",1,0)</f>
        <v>0</v>
      </c>
    </row>
    <row r="139" customFormat="false" ht="15" hidden="false" customHeight="false" outlineLevel="0" collapsed="false">
      <c r="A139" s="10" t="n">
        <v>138</v>
      </c>
      <c r="B139" s="10" t="n">
        <v>63</v>
      </c>
      <c r="C139" s="10" t="s">
        <v>27</v>
      </c>
      <c r="D139" s="10" t="n">
        <v>27</v>
      </c>
      <c r="E139" s="11" t="str">
        <f aca="false">IF(B139&lt;50,"Low",IF(B139&lt;70,"Mid","High"))</f>
        <v>Mid</v>
      </c>
      <c r="F139" s="11" t="str">
        <f aca="false">IF(D139&lt;24,"Short","Long")</f>
        <v>Long</v>
      </c>
      <c r="G139" s="10" t="s">
        <v>30</v>
      </c>
      <c r="H139" s="11" t="n">
        <f aca="false">IF(G139="Yes",1,0)</f>
        <v>1</v>
      </c>
    </row>
    <row r="140" customFormat="false" ht="15" hidden="false" customHeight="false" outlineLevel="0" collapsed="false">
      <c r="A140" s="10" t="n">
        <v>139</v>
      </c>
      <c r="B140" s="10" t="n">
        <v>71</v>
      </c>
      <c r="C140" s="10" t="s">
        <v>29</v>
      </c>
      <c r="D140" s="10" t="n">
        <v>20</v>
      </c>
      <c r="E140" s="11" t="str">
        <f aca="false">IF(B140&lt;50,"Low",IF(B140&lt;70,"Mid","High"))</f>
        <v>High</v>
      </c>
      <c r="F140" s="11" t="str">
        <f aca="false">IF(D140&lt;24,"Short","Long")</f>
        <v>Short</v>
      </c>
      <c r="G140" s="10" t="s">
        <v>30</v>
      </c>
      <c r="H140" s="11" t="n">
        <f aca="false">IF(G140="Yes",1,0)</f>
        <v>1</v>
      </c>
    </row>
    <row r="141" customFormat="false" ht="15" hidden="false" customHeight="false" outlineLevel="0" collapsed="false">
      <c r="A141" s="10" t="n">
        <v>140</v>
      </c>
      <c r="B141" s="10" t="n">
        <v>44</v>
      </c>
      <c r="C141" s="10" t="s">
        <v>29</v>
      </c>
      <c r="D141" s="10" t="n">
        <v>12</v>
      </c>
      <c r="E141" s="11" t="str">
        <f aca="false">IF(B141&lt;50,"Low",IF(B141&lt;70,"Mid","High"))</f>
        <v>Low</v>
      </c>
      <c r="F141" s="11" t="str">
        <f aca="false">IF(D141&lt;24,"Short","Long")</f>
        <v>Short</v>
      </c>
      <c r="G141" s="10" t="s">
        <v>28</v>
      </c>
      <c r="H141" s="11" t="n">
        <f aca="false">IF(G141="Yes",1,0)</f>
        <v>0</v>
      </c>
    </row>
    <row r="142" customFormat="false" ht="15" hidden="false" customHeight="false" outlineLevel="0" collapsed="false">
      <c r="A142" s="10" t="n">
        <v>141</v>
      </c>
      <c r="B142" s="10" t="n">
        <v>65</v>
      </c>
      <c r="C142" s="10" t="s">
        <v>27</v>
      </c>
      <c r="D142" s="10" t="n">
        <v>33</v>
      </c>
      <c r="E142" s="11" t="str">
        <f aca="false">IF(B142&lt;50,"Low",IF(B142&lt;70,"Mid","High"))</f>
        <v>Mid</v>
      </c>
      <c r="F142" s="11" t="str">
        <f aca="false">IF(D142&lt;24,"Short","Long")</f>
        <v>Long</v>
      </c>
      <c r="G142" s="10" t="s">
        <v>28</v>
      </c>
      <c r="H142" s="11" t="n">
        <f aca="false">IF(G142="Yes",1,0)</f>
        <v>0</v>
      </c>
    </row>
    <row r="143" customFormat="false" ht="15" hidden="false" customHeight="false" outlineLevel="0" collapsed="false">
      <c r="A143" s="10" t="n">
        <v>142</v>
      </c>
      <c r="B143" s="10" t="n">
        <v>63</v>
      </c>
      <c r="C143" s="10" t="s">
        <v>29</v>
      </c>
      <c r="D143" s="10" t="n">
        <v>12</v>
      </c>
      <c r="E143" s="11" t="str">
        <f aca="false">IF(B143&lt;50,"Low",IF(B143&lt;70,"Mid","High"))</f>
        <v>Mid</v>
      </c>
      <c r="F143" s="11" t="str">
        <f aca="false">IF(D143&lt;24,"Short","Long")</f>
        <v>Short</v>
      </c>
      <c r="G143" s="10" t="s">
        <v>28</v>
      </c>
      <c r="H143" s="11" t="n">
        <f aca="false">IF(G143="Yes",1,0)</f>
        <v>0</v>
      </c>
    </row>
    <row r="144" customFormat="false" ht="15" hidden="false" customHeight="false" outlineLevel="0" collapsed="false">
      <c r="A144" s="10" t="n">
        <v>143</v>
      </c>
      <c r="B144" s="10" t="n">
        <v>50</v>
      </c>
      <c r="C144" s="10" t="s">
        <v>29</v>
      </c>
      <c r="D144" s="10" t="n">
        <v>16</v>
      </c>
      <c r="E144" s="11" t="str">
        <f aca="false">IF(B144&lt;50,"Low",IF(B144&lt;70,"Mid","High"))</f>
        <v>Mid</v>
      </c>
      <c r="F144" s="11" t="str">
        <f aca="false">IF(D144&lt;24,"Short","Long")</f>
        <v>Short</v>
      </c>
      <c r="G144" s="10" t="s">
        <v>30</v>
      </c>
      <c r="H144" s="11" t="n">
        <f aca="false">IF(G144="Yes",1,0)</f>
        <v>1</v>
      </c>
    </row>
    <row r="145" customFormat="false" ht="15" hidden="false" customHeight="false" outlineLevel="0" collapsed="false">
      <c r="A145" s="10" t="n">
        <v>144</v>
      </c>
      <c r="B145" s="10" t="n">
        <v>69</v>
      </c>
      <c r="C145" s="10" t="s">
        <v>29</v>
      </c>
      <c r="D145" s="10" t="n">
        <v>7</v>
      </c>
      <c r="E145" s="11" t="str">
        <f aca="false">IF(B145&lt;50,"Low",IF(B145&lt;70,"Mid","High"))</f>
        <v>Mid</v>
      </c>
      <c r="F145" s="11" t="str">
        <f aca="false">IF(D145&lt;24,"Short","Long")</f>
        <v>Short</v>
      </c>
      <c r="G145" s="10" t="s">
        <v>30</v>
      </c>
      <c r="H145" s="11" t="n">
        <f aca="false">IF(G145="Yes",1,0)</f>
        <v>1</v>
      </c>
    </row>
    <row r="146" customFormat="false" ht="15" hidden="false" customHeight="false" outlineLevel="0" collapsed="false">
      <c r="A146" s="10" t="n">
        <v>145</v>
      </c>
      <c r="B146" s="10" t="n">
        <v>67</v>
      </c>
      <c r="C146" s="10" t="s">
        <v>29</v>
      </c>
      <c r="D146" s="10" t="n">
        <v>21</v>
      </c>
      <c r="E146" s="11" t="str">
        <f aca="false">IF(B146&lt;50,"Low",IF(B146&lt;70,"Mid","High"))</f>
        <v>Mid</v>
      </c>
      <c r="F146" s="11" t="str">
        <f aca="false">IF(D146&lt;24,"Short","Long")</f>
        <v>Short</v>
      </c>
      <c r="G146" s="10" t="s">
        <v>30</v>
      </c>
      <c r="H146" s="11" t="n">
        <f aca="false">IF(G146="Yes",1,0)</f>
        <v>1</v>
      </c>
    </row>
    <row r="147" customFormat="false" ht="15" hidden="false" customHeight="false" outlineLevel="0" collapsed="false">
      <c r="A147" s="10" t="n">
        <v>146</v>
      </c>
      <c r="B147" s="10" t="n">
        <v>70</v>
      </c>
      <c r="C147" s="10" t="s">
        <v>27</v>
      </c>
      <c r="D147" s="10" t="n">
        <v>30</v>
      </c>
      <c r="E147" s="11" t="str">
        <f aca="false">IF(B147&lt;50,"Low",IF(B147&lt;70,"Mid","High"))</f>
        <v>High</v>
      </c>
      <c r="F147" s="11" t="str">
        <f aca="false">IF(D147&lt;24,"Short","Long")</f>
        <v>Long</v>
      </c>
      <c r="G147" s="10" t="s">
        <v>30</v>
      </c>
      <c r="H147" s="11" t="n">
        <f aca="false">IF(G147="Yes",1,0)</f>
        <v>1</v>
      </c>
    </row>
    <row r="148" customFormat="false" ht="15" hidden="false" customHeight="false" outlineLevel="0" collapsed="false">
      <c r="A148" s="10" t="n">
        <v>147</v>
      </c>
      <c r="B148" s="10" t="n">
        <v>67</v>
      </c>
      <c r="C148" s="10" t="s">
        <v>29</v>
      </c>
      <c r="D148" s="10" t="n">
        <v>11</v>
      </c>
      <c r="E148" s="11" t="str">
        <f aca="false">IF(B148&lt;50,"Low",IF(B148&lt;70,"Mid","High"))</f>
        <v>Mid</v>
      </c>
      <c r="F148" s="11" t="str">
        <f aca="false">IF(D148&lt;24,"Short","Long")</f>
        <v>Short</v>
      </c>
      <c r="G148" s="10" t="s">
        <v>30</v>
      </c>
      <c r="H148" s="11" t="n">
        <f aca="false">IF(G148="Yes",1,0)</f>
        <v>1</v>
      </c>
    </row>
    <row r="149" customFormat="false" ht="15" hidden="false" customHeight="false" outlineLevel="0" collapsed="false">
      <c r="A149" s="10" t="n">
        <v>148</v>
      </c>
      <c r="B149" s="10" t="n">
        <v>79</v>
      </c>
      <c r="C149" s="10" t="s">
        <v>29</v>
      </c>
      <c r="D149" s="10" t="n">
        <v>8</v>
      </c>
      <c r="E149" s="11" t="str">
        <f aca="false">IF(B149&lt;50,"Low",IF(B149&lt;70,"Mid","High"))</f>
        <v>High</v>
      </c>
      <c r="F149" s="11" t="str">
        <f aca="false">IF(D149&lt;24,"Short","Long")</f>
        <v>Short</v>
      </c>
      <c r="G149" s="10" t="s">
        <v>30</v>
      </c>
      <c r="H149" s="11" t="n">
        <f aca="false">IF(G149="Yes",1,0)</f>
        <v>1</v>
      </c>
    </row>
    <row r="150" customFormat="false" ht="15" hidden="false" customHeight="false" outlineLevel="0" collapsed="false">
      <c r="A150" s="10" t="n">
        <v>149</v>
      </c>
      <c r="B150" s="10" t="n">
        <v>50</v>
      </c>
      <c r="C150" s="10" t="s">
        <v>29</v>
      </c>
      <c r="D150" s="10" t="n">
        <v>18</v>
      </c>
      <c r="E150" s="11" t="str">
        <f aca="false">IF(B150&lt;50,"Low",IF(B150&lt;70,"Mid","High"))</f>
        <v>Mid</v>
      </c>
      <c r="F150" s="11" t="str">
        <f aca="false">IF(D150&lt;24,"Short","Long")</f>
        <v>Short</v>
      </c>
      <c r="G150" s="10" t="s">
        <v>28</v>
      </c>
      <c r="H150" s="11" t="n">
        <f aca="false">IF(G150="Yes",1,0)</f>
        <v>0</v>
      </c>
    </row>
    <row r="151" customFormat="false" ht="15" hidden="false" customHeight="false" outlineLevel="0" collapsed="false">
      <c r="A151" s="10" t="n">
        <v>150</v>
      </c>
      <c r="B151" s="10" t="n">
        <v>49</v>
      </c>
      <c r="C151" s="10" t="s">
        <v>29</v>
      </c>
      <c r="D151" s="10" t="n">
        <v>10</v>
      </c>
      <c r="E151" s="11" t="str">
        <f aca="false">IF(B151&lt;50,"Low",IF(B151&lt;70,"Mid","High"))</f>
        <v>Low</v>
      </c>
      <c r="F151" s="11" t="str">
        <f aca="false">IF(D151&lt;24,"Short","Long")</f>
        <v>Short</v>
      </c>
      <c r="G151" s="10" t="s">
        <v>28</v>
      </c>
      <c r="H151" s="11" t="n">
        <f aca="false">IF(G151="Yes",1,0)</f>
        <v>0</v>
      </c>
    </row>
    <row r="152" customFormat="false" ht="15" hidden="false" customHeight="false" outlineLevel="0" collapsed="false">
      <c r="A152" s="10" t="n">
        <v>151</v>
      </c>
      <c r="B152" s="10" t="n">
        <v>53</v>
      </c>
      <c r="C152" s="10" t="s">
        <v>29</v>
      </c>
      <c r="D152" s="10" t="n">
        <v>23</v>
      </c>
      <c r="E152" s="11" t="str">
        <f aca="false">IF(B152&lt;50,"Low",IF(B152&lt;70,"Mid","High"))</f>
        <v>Mid</v>
      </c>
      <c r="F152" s="11" t="str">
        <f aca="false">IF(D152&lt;24,"Short","Long")</f>
        <v>Short</v>
      </c>
      <c r="G152" s="10" t="s">
        <v>28</v>
      </c>
      <c r="H152" s="11" t="n">
        <f aca="false">IF(G152="Yes",1,0)</f>
        <v>0</v>
      </c>
    </row>
    <row r="153" customFormat="false" ht="15" hidden="false" customHeight="false" outlineLevel="0" collapsed="false">
      <c r="A153" s="10" t="n">
        <v>152</v>
      </c>
      <c r="B153" s="10" t="n">
        <v>86</v>
      </c>
      <c r="C153" s="10" t="s">
        <v>29</v>
      </c>
      <c r="D153" s="10" t="n">
        <v>11</v>
      </c>
      <c r="E153" s="11" t="str">
        <f aca="false">IF(B153&lt;50,"Low",IF(B153&lt;70,"Mid","High"))</f>
        <v>High</v>
      </c>
      <c r="F153" s="11" t="str">
        <f aca="false">IF(D153&lt;24,"Short","Long")</f>
        <v>Short</v>
      </c>
      <c r="G153" s="10" t="s">
        <v>30</v>
      </c>
      <c r="H153" s="11" t="n">
        <f aca="false">IF(G153="Yes",1,0)</f>
        <v>1</v>
      </c>
    </row>
    <row r="154" customFormat="false" ht="15" hidden="false" customHeight="false" outlineLevel="0" collapsed="false">
      <c r="A154" s="10" t="n">
        <v>153</v>
      </c>
      <c r="B154" s="10" t="n">
        <v>79</v>
      </c>
      <c r="C154" s="10" t="s">
        <v>29</v>
      </c>
      <c r="D154" s="10" t="n">
        <v>16</v>
      </c>
      <c r="E154" s="11" t="str">
        <f aca="false">IF(B154&lt;50,"Low",IF(B154&lt;70,"Mid","High"))</f>
        <v>High</v>
      </c>
      <c r="F154" s="11" t="str">
        <f aca="false">IF(D154&lt;24,"Short","Long")</f>
        <v>Short</v>
      </c>
      <c r="G154" s="10" t="s">
        <v>30</v>
      </c>
      <c r="H154" s="11" t="n">
        <f aca="false">IF(G154="Yes",1,0)</f>
        <v>1</v>
      </c>
    </row>
    <row r="155" customFormat="false" ht="15" hidden="false" customHeight="false" outlineLevel="0" collapsed="false">
      <c r="A155" s="10" t="n">
        <v>154</v>
      </c>
      <c r="B155" s="10" t="n">
        <v>71</v>
      </c>
      <c r="C155" s="10" t="s">
        <v>29</v>
      </c>
      <c r="D155" s="10" t="n">
        <v>14</v>
      </c>
      <c r="E155" s="11" t="str">
        <f aca="false">IF(B155&lt;50,"Low",IF(B155&lt;70,"Mid","High"))</f>
        <v>High</v>
      </c>
      <c r="F155" s="11" t="str">
        <f aca="false">IF(D155&lt;24,"Short","Long")</f>
        <v>Short</v>
      </c>
      <c r="G155" s="10" t="s">
        <v>30</v>
      </c>
      <c r="H155" s="11" t="n">
        <f aca="false">IF(G155="Yes",1,0)</f>
        <v>1</v>
      </c>
    </row>
    <row r="156" customFormat="false" ht="15" hidden="false" customHeight="false" outlineLevel="0" collapsed="false">
      <c r="A156" s="10" t="n">
        <v>155</v>
      </c>
      <c r="B156" s="10" t="n">
        <v>64</v>
      </c>
      <c r="C156" s="10" t="s">
        <v>27</v>
      </c>
      <c r="D156" s="10" t="n">
        <v>34</v>
      </c>
      <c r="E156" s="11" t="str">
        <f aca="false">IF(B156&lt;50,"Low",IF(B156&lt;70,"Mid","High"))</f>
        <v>Mid</v>
      </c>
      <c r="F156" s="11" t="str">
        <f aca="false">IF(D156&lt;24,"Short","Long")</f>
        <v>Long</v>
      </c>
      <c r="G156" s="10" t="s">
        <v>28</v>
      </c>
      <c r="H156" s="11" t="n">
        <f aca="false">IF(G156="Yes",1,0)</f>
        <v>0</v>
      </c>
    </row>
    <row r="157" customFormat="false" ht="15" hidden="false" customHeight="false" outlineLevel="0" collapsed="false">
      <c r="A157" s="10" t="n">
        <v>156</v>
      </c>
      <c r="B157" s="10" t="n">
        <v>61</v>
      </c>
      <c r="C157" s="10" t="s">
        <v>29</v>
      </c>
      <c r="D157" s="10" t="n">
        <v>16</v>
      </c>
      <c r="E157" s="11" t="str">
        <f aca="false">IF(B157&lt;50,"Low",IF(B157&lt;70,"Mid","High"))</f>
        <v>Mid</v>
      </c>
      <c r="F157" s="11" t="str">
        <f aca="false">IF(D157&lt;24,"Short","Long")</f>
        <v>Short</v>
      </c>
      <c r="G157" s="10" t="s">
        <v>30</v>
      </c>
      <c r="H157" s="11" t="n">
        <f aca="false">IF(G157="Yes",1,0)</f>
        <v>1</v>
      </c>
    </row>
    <row r="158" customFormat="false" ht="15" hidden="false" customHeight="false" outlineLevel="0" collapsed="false">
      <c r="A158" s="10" t="n">
        <v>157</v>
      </c>
      <c r="B158" s="10" t="n">
        <v>49</v>
      </c>
      <c r="C158" s="10" t="s">
        <v>29</v>
      </c>
      <c r="D158" s="10" t="n">
        <v>15</v>
      </c>
      <c r="E158" s="11" t="str">
        <f aca="false">IF(B158&lt;50,"Low",IF(B158&lt;70,"Mid","High"))</f>
        <v>Low</v>
      </c>
      <c r="F158" s="11" t="str">
        <f aca="false">IF(D158&lt;24,"Short","Long")</f>
        <v>Short</v>
      </c>
      <c r="G158" s="10" t="s">
        <v>28</v>
      </c>
      <c r="H158" s="11" t="n">
        <f aca="false">IF(G158="Yes",1,0)</f>
        <v>0</v>
      </c>
    </row>
    <row r="159" customFormat="false" ht="15" hidden="false" customHeight="false" outlineLevel="0" collapsed="false">
      <c r="A159" s="10" t="n">
        <v>158</v>
      </c>
      <c r="B159" s="10" t="n">
        <v>72</v>
      </c>
      <c r="C159" s="10" t="s">
        <v>27</v>
      </c>
      <c r="D159" s="10" t="n">
        <v>24</v>
      </c>
      <c r="E159" s="11" t="str">
        <f aca="false">IF(B159&lt;50,"Low",IF(B159&lt;70,"Mid","High"))</f>
        <v>High</v>
      </c>
      <c r="F159" s="11" t="str">
        <f aca="false">IF(D159&lt;24,"Short","Long")</f>
        <v>Long</v>
      </c>
      <c r="G159" s="10" t="s">
        <v>30</v>
      </c>
      <c r="H159" s="11" t="n">
        <f aca="false">IF(G159="Yes",1,0)</f>
        <v>1</v>
      </c>
    </row>
    <row r="160" customFormat="false" ht="15" hidden="false" customHeight="false" outlineLevel="0" collapsed="false">
      <c r="A160" s="10" t="n">
        <v>159</v>
      </c>
      <c r="B160" s="10" t="n">
        <v>74</v>
      </c>
      <c r="C160" s="10" t="s">
        <v>29</v>
      </c>
      <c r="D160" s="10" t="n">
        <v>11</v>
      </c>
      <c r="E160" s="11" t="str">
        <f aca="false">IF(B160&lt;50,"Low",IF(B160&lt;70,"Mid","High"))</f>
        <v>High</v>
      </c>
      <c r="F160" s="11" t="str">
        <f aca="false">IF(D160&lt;24,"Short","Long")</f>
        <v>Short</v>
      </c>
      <c r="G160" s="10" t="s">
        <v>30</v>
      </c>
      <c r="H160" s="11" t="n">
        <f aca="false">IF(G160="Yes",1,0)</f>
        <v>1</v>
      </c>
    </row>
    <row r="161" customFormat="false" ht="15" hidden="false" customHeight="false" outlineLevel="0" collapsed="false">
      <c r="A161" s="10" t="n">
        <v>160</v>
      </c>
      <c r="B161" s="10" t="n">
        <v>75</v>
      </c>
      <c r="C161" s="10" t="s">
        <v>29</v>
      </c>
      <c r="D161" s="10" t="n">
        <v>23</v>
      </c>
      <c r="E161" s="11" t="str">
        <f aca="false">IF(B161&lt;50,"Low",IF(B161&lt;70,"Mid","High"))</f>
        <v>High</v>
      </c>
      <c r="F161" s="11" t="str">
        <f aca="false">IF(D161&lt;24,"Short","Long")</f>
        <v>Short</v>
      </c>
      <c r="G161" s="10" t="s">
        <v>30</v>
      </c>
      <c r="H161" s="11" t="n">
        <f aca="false">IF(G161="Yes",1,0)</f>
        <v>1</v>
      </c>
    </row>
    <row r="162" customFormat="false" ht="15" hidden="false" customHeight="false" outlineLevel="0" collapsed="false">
      <c r="A162" s="10" t="n">
        <v>161</v>
      </c>
      <c r="B162" s="10" t="n">
        <v>91</v>
      </c>
      <c r="C162" s="10" t="s">
        <v>29</v>
      </c>
      <c r="D162" s="10" t="n">
        <v>24</v>
      </c>
      <c r="E162" s="11" t="str">
        <f aca="false">IF(B162&lt;50,"Low",IF(B162&lt;70,"Mid","High"))</f>
        <v>High</v>
      </c>
      <c r="F162" s="11" t="str">
        <f aca="false">IF(D162&lt;24,"Short","Long")</f>
        <v>Long</v>
      </c>
      <c r="G162" s="10" t="s">
        <v>30</v>
      </c>
      <c r="H162" s="11" t="n">
        <f aca="false">IF(G162="Yes",1,0)</f>
        <v>1</v>
      </c>
    </row>
    <row r="163" customFormat="false" ht="15" hidden="false" customHeight="false" outlineLevel="0" collapsed="false">
      <c r="A163" s="10" t="n">
        <v>162</v>
      </c>
      <c r="B163" s="10" t="n">
        <v>75</v>
      </c>
      <c r="C163" s="10" t="s">
        <v>29</v>
      </c>
      <c r="D163" s="10" t="n">
        <v>21</v>
      </c>
      <c r="E163" s="11" t="str">
        <f aca="false">IF(B163&lt;50,"Low",IF(B163&lt;70,"Mid","High"))</f>
        <v>High</v>
      </c>
      <c r="F163" s="11" t="str">
        <f aca="false">IF(D163&lt;24,"Short","Long")</f>
        <v>Short</v>
      </c>
      <c r="G163" s="10" t="s">
        <v>30</v>
      </c>
      <c r="H163" s="11" t="n">
        <f aca="false">IF(G163="Yes",1,0)</f>
        <v>1</v>
      </c>
    </row>
    <row r="164" customFormat="false" ht="15" hidden="false" customHeight="false" outlineLevel="0" collapsed="false">
      <c r="A164" s="10" t="n">
        <v>163</v>
      </c>
      <c r="B164" s="10" t="n">
        <v>69</v>
      </c>
      <c r="C164" s="10" t="s">
        <v>29</v>
      </c>
      <c r="D164" s="10" t="n">
        <v>19</v>
      </c>
      <c r="E164" s="11" t="str">
        <f aca="false">IF(B164&lt;50,"Low",IF(B164&lt;70,"Mid","High"))</f>
        <v>Mid</v>
      </c>
      <c r="F164" s="11" t="str">
        <f aca="false">IF(D164&lt;24,"Short","Long")</f>
        <v>Short</v>
      </c>
      <c r="G164" s="10" t="s">
        <v>30</v>
      </c>
      <c r="H164" s="11" t="n">
        <f aca="false">IF(G164="Yes",1,0)</f>
        <v>1</v>
      </c>
    </row>
    <row r="165" customFormat="false" ht="15" hidden="false" customHeight="false" outlineLevel="0" collapsed="false">
      <c r="A165" s="10" t="n">
        <v>164</v>
      </c>
      <c r="B165" s="10" t="n">
        <v>30</v>
      </c>
      <c r="C165" s="10" t="s">
        <v>27</v>
      </c>
      <c r="D165" s="10" t="n">
        <v>39</v>
      </c>
      <c r="E165" s="11" t="str">
        <f aca="false">IF(B165&lt;50,"Low",IF(B165&lt;70,"Mid","High"))</f>
        <v>Low</v>
      </c>
      <c r="F165" s="11" t="str">
        <f aca="false">IF(D165&lt;24,"Short","Long")</f>
        <v>Long</v>
      </c>
      <c r="G165" s="10" t="s">
        <v>28</v>
      </c>
      <c r="H165" s="11" t="n">
        <f aca="false">IF(G165="Yes",1,0)</f>
        <v>0</v>
      </c>
    </row>
    <row r="166" customFormat="false" ht="15" hidden="false" customHeight="false" outlineLevel="0" collapsed="false">
      <c r="A166" s="10" t="n">
        <v>165</v>
      </c>
      <c r="B166" s="10" t="n">
        <v>84</v>
      </c>
      <c r="C166" s="10" t="s">
        <v>27</v>
      </c>
      <c r="D166" s="10" t="n">
        <v>29</v>
      </c>
      <c r="E166" s="11" t="str">
        <f aca="false">IF(B166&lt;50,"Low",IF(B166&lt;70,"Mid","High"))</f>
        <v>High</v>
      </c>
      <c r="F166" s="11" t="str">
        <f aca="false">IF(D166&lt;24,"Short","Long")</f>
        <v>Long</v>
      </c>
      <c r="G166" s="10" t="s">
        <v>30</v>
      </c>
      <c r="H166" s="11" t="n">
        <f aca="false">IF(G166="Yes",1,0)</f>
        <v>1</v>
      </c>
    </row>
    <row r="167" customFormat="false" ht="15" hidden="false" customHeight="false" outlineLevel="0" collapsed="false">
      <c r="A167" s="10" t="n">
        <v>166</v>
      </c>
      <c r="B167" s="10" t="n">
        <v>84</v>
      </c>
      <c r="C167" s="10" t="s">
        <v>29</v>
      </c>
      <c r="D167" s="10" t="n">
        <v>17</v>
      </c>
      <c r="E167" s="11" t="str">
        <f aca="false">IF(B167&lt;50,"Low",IF(B167&lt;70,"Mid","High"))</f>
        <v>High</v>
      </c>
      <c r="F167" s="11" t="str">
        <f aca="false">IF(D167&lt;24,"Short","Long")</f>
        <v>Short</v>
      </c>
      <c r="G167" s="10" t="s">
        <v>30</v>
      </c>
      <c r="H167" s="11" t="n">
        <f aca="false">IF(G167="Yes",1,0)</f>
        <v>1</v>
      </c>
    </row>
    <row r="168" customFormat="false" ht="15" hidden="false" customHeight="false" outlineLevel="0" collapsed="false">
      <c r="A168" s="10" t="n">
        <v>167</v>
      </c>
      <c r="B168" s="10" t="n">
        <v>57</v>
      </c>
      <c r="C168" s="10" t="s">
        <v>27</v>
      </c>
      <c r="D168" s="10" t="n">
        <v>46</v>
      </c>
      <c r="E168" s="11" t="str">
        <f aca="false">IF(B168&lt;50,"Low",IF(B168&lt;70,"Mid","High"))</f>
        <v>Mid</v>
      </c>
      <c r="F168" s="11" t="str">
        <f aca="false">IF(D168&lt;24,"Short","Long")</f>
        <v>Long</v>
      </c>
      <c r="G168" s="10" t="s">
        <v>28</v>
      </c>
      <c r="H168" s="11" t="n">
        <f aca="false">IF(G168="Yes",1,0)</f>
        <v>0</v>
      </c>
    </row>
    <row r="169" customFormat="false" ht="15" hidden="false" customHeight="false" outlineLevel="0" collapsed="false">
      <c r="A169" s="10" t="n">
        <v>168</v>
      </c>
      <c r="B169" s="10" t="n">
        <v>69</v>
      </c>
      <c r="C169" s="10" t="s">
        <v>29</v>
      </c>
      <c r="D169" s="10" t="n">
        <v>17</v>
      </c>
      <c r="E169" s="11" t="str">
        <f aca="false">IF(B169&lt;50,"Low",IF(B169&lt;70,"Mid","High"))</f>
        <v>Mid</v>
      </c>
      <c r="F169" s="11" t="str">
        <f aca="false">IF(D169&lt;24,"Short","Long")</f>
        <v>Short</v>
      </c>
      <c r="G169" s="10" t="s">
        <v>30</v>
      </c>
      <c r="H169" s="11" t="n">
        <f aca="false">IF(G169="Yes",1,0)</f>
        <v>1</v>
      </c>
    </row>
    <row r="170" customFormat="false" ht="15" hidden="false" customHeight="false" outlineLevel="0" collapsed="false">
      <c r="A170" s="10" t="n">
        <v>169</v>
      </c>
      <c r="B170" s="10" t="n">
        <v>64</v>
      </c>
      <c r="C170" s="10" t="s">
        <v>29</v>
      </c>
      <c r="D170" s="10" t="n">
        <v>12</v>
      </c>
      <c r="E170" s="11" t="str">
        <f aca="false">IF(B170&lt;50,"Low",IF(B170&lt;70,"Mid","High"))</f>
        <v>Mid</v>
      </c>
      <c r="F170" s="11" t="str">
        <f aca="false">IF(D170&lt;24,"Short","Long")</f>
        <v>Short</v>
      </c>
      <c r="G170" s="10" t="s">
        <v>30</v>
      </c>
      <c r="H170" s="11" t="n">
        <f aca="false">IF(G170="Yes",1,0)</f>
        <v>1</v>
      </c>
    </row>
    <row r="171" customFormat="false" ht="15" hidden="false" customHeight="false" outlineLevel="0" collapsed="false">
      <c r="A171" s="10" t="n">
        <v>170</v>
      </c>
      <c r="B171" s="10" t="n">
        <v>25</v>
      </c>
      <c r="C171" s="10" t="s">
        <v>27</v>
      </c>
      <c r="D171" s="10" t="n">
        <v>28</v>
      </c>
      <c r="E171" s="11" t="str">
        <f aca="false">IF(B171&lt;50,"Low",IF(B171&lt;70,"Mid","High"))</f>
        <v>Low</v>
      </c>
      <c r="F171" s="11" t="str">
        <f aca="false">IF(D171&lt;24,"Short","Long")</f>
        <v>Long</v>
      </c>
      <c r="G171" s="10" t="s">
        <v>28</v>
      </c>
      <c r="H171" s="11" t="n">
        <f aca="false">IF(G171="Yes",1,0)</f>
        <v>0</v>
      </c>
    </row>
    <row r="172" customFormat="false" ht="15" hidden="false" customHeight="false" outlineLevel="0" collapsed="false">
      <c r="A172" s="10" t="n">
        <v>171</v>
      </c>
      <c r="B172" s="10" t="n">
        <v>70</v>
      </c>
      <c r="C172" s="10" t="s">
        <v>27</v>
      </c>
      <c r="D172" s="10" t="n">
        <v>13</v>
      </c>
      <c r="E172" s="11" t="str">
        <f aca="false">IF(B172&lt;50,"Low",IF(B172&lt;70,"Mid","High"))</f>
        <v>High</v>
      </c>
      <c r="F172" s="11" t="str">
        <f aca="false">IF(D172&lt;24,"Short","Long")</f>
        <v>Short</v>
      </c>
      <c r="G172" s="10" t="s">
        <v>30</v>
      </c>
      <c r="H172" s="11" t="n">
        <f aca="false">IF(G172="Yes",1,0)</f>
        <v>1</v>
      </c>
    </row>
    <row r="173" customFormat="false" ht="15" hidden="false" customHeight="false" outlineLevel="0" collapsed="false">
      <c r="A173" s="10" t="n">
        <v>172</v>
      </c>
      <c r="B173" s="10" t="n">
        <v>42</v>
      </c>
      <c r="C173" s="10" t="s">
        <v>27</v>
      </c>
      <c r="D173" s="10" t="n">
        <v>25</v>
      </c>
      <c r="E173" s="11" t="str">
        <f aca="false">IF(B173&lt;50,"Low",IF(B173&lt;70,"Mid","High"))</f>
        <v>Low</v>
      </c>
      <c r="F173" s="11" t="str">
        <f aca="false">IF(D173&lt;24,"Short","Long")</f>
        <v>Long</v>
      </c>
      <c r="G173" s="10" t="s">
        <v>28</v>
      </c>
      <c r="H173" s="11" t="n">
        <f aca="false">IF(G173="Yes",1,0)</f>
        <v>0</v>
      </c>
    </row>
    <row r="174" customFormat="false" ht="15" hidden="false" customHeight="false" outlineLevel="0" collapsed="false">
      <c r="A174" s="10" t="n">
        <v>173</v>
      </c>
      <c r="B174" s="10" t="n">
        <v>62</v>
      </c>
      <c r="C174" s="10" t="s">
        <v>29</v>
      </c>
      <c r="D174" s="10" t="n">
        <v>23</v>
      </c>
      <c r="E174" s="11" t="str">
        <f aca="false">IF(B174&lt;50,"Low",IF(B174&lt;70,"Mid","High"))</f>
        <v>Mid</v>
      </c>
      <c r="F174" s="11" t="str">
        <f aca="false">IF(D174&lt;24,"Short","Long")</f>
        <v>Short</v>
      </c>
      <c r="G174" s="10" t="s">
        <v>28</v>
      </c>
      <c r="H174" s="11" t="n">
        <f aca="false">IF(G174="Yes",1,0)</f>
        <v>0</v>
      </c>
    </row>
    <row r="175" customFormat="false" ht="15" hidden="false" customHeight="false" outlineLevel="0" collapsed="false">
      <c r="A175" s="10" t="n">
        <v>174</v>
      </c>
      <c r="B175" s="10" t="n">
        <v>61</v>
      </c>
      <c r="C175" s="10" t="s">
        <v>29</v>
      </c>
      <c r="D175" s="10" t="n">
        <v>14</v>
      </c>
      <c r="E175" s="11" t="str">
        <f aca="false">IF(B175&lt;50,"Low",IF(B175&lt;70,"Mid","High"))</f>
        <v>Mid</v>
      </c>
      <c r="F175" s="11" t="str">
        <f aca="false">IF(D175&lt;24,"Short","Long")</f>
        <v>Short</v>
      </c>
      <c r="G175" s="10" t="s">
        <v>30</v>
      </c>
      <c r="H175" s="11" t="n">
        <f aca="false">IF(G175="Yes",1,0)</f>
        <v>1</v>
      </c>
    </row>
    <row r="176" customFormat="false" ht="15" hidden="false" customHeight="false" outlineLevel="0" collapsed="false">
      <c r="A176" s="10" t="n">
        <v>175</v>
      </c>
      <c r="B176" s="10" t="n">
        <v>59</v>
      </c>
      <c r="C176" s="10" t="s">
        <v>29</v>
      </c>
      <c r="D176" s="10" t="n">
        <v>18</v>
      </c>
      <c r="E176" s="11" t="str">
        <f aca="false">IF(B176&lt;50,"Low",IF(B176&lt;70,"Mid","High"))</f>
        <v>Mid</v>
      </c>
      <c r="F176" s="11" t="str">
        <f aca="false">IF(D176&lt;24,"Short","Long")</f>
        <v>Short</v>
      </c>
      <c r="G176" s="10" t="s">
        <v>30</v>
      </c>
      <c r="H176" s="11" t="n">
        <f aca="false">IF(G176="Yes",1,0)</f>
        <v>1</v>
      </c>
    </row>
    <row r="177" customFormat="false" ht="15" hidden="false" customHeight="false" outlineLevel="0" collapsed="false">
      <c r="A177" s="10" t="n">
        <v>176</v>
      </c>
      <c r="B177" s="10" t="n">
        <v>67</v>
      </c>
      <c r="C177" s="10" t="s">
        <v>27</v>
      </c>
      <c r="D177" s="10" t="n">
        <v>41</v>
      </c>
      <c r="E177" s="11" t="str">
        <f aca="false">IF(B177&lt;50,"Low",IF(B177&lt;70,"Mid","High"))</f>
        <v>Mid</v>
      </c>
      <c r="F177" s="11" t="str">
        <f aca="false">IF(D177&lt;24,"Short","Long")</f>
        <v>Long</v>
      </c>
      <c r="G177" s="10" t="s">
        <v>28</v>
      </c>
      <c r="H177" s="11" t="n">
        <f aca="false">IF(G177="Yes",1,0)</f>
        <v>0</v>
      </c>
    </row>
    <row r="178" customFormat="false" ht="15" hidden="false" customHeight="false" outlineLevel="0" collapsed="false">
      <c r="A178" s="10" t="n">
        <v>177</v>
      </c>
      <c r="B178" s="10" t="n">
        <v>62</v>
      </c>
      <c r="C178" s="10" t="s">
        <v>29</v>
      </c>
      <c r="D178" s="10" t="n">
        <v>16</v>
      </c>
      <c r="E178" s="11" t="str">
        <f aca="false">IF(B178&lt;50,"Low",IF(B178&lt;70,"Mid","High"))</f>
        <v>Mid</v>
      </c>
      <c r="F178" s="11" t="str">
        <f aca="false">IF(D178&lt;24,"Short","Long")</f>
        <v>Short</v>
      </c>
      <c r="G178" s="10" t="s">
        <v>30</v>
      </c>
      <c r="H178" s="11" t="n">
        <f aca="false">IF(G178="Yes",1,0)</f>
        <v>1</v>
      </c>
    </row>
    <row r="179" customFormat="false" ht="15" hidden="false" customHeight="false" outlineLevel="0" collapsed="false">
      <c r="A179" s="10" t="n">
        <v>178</v>
      </c>
      <c r="B179" s="10" t="n">
        <v>60</v>
      </c>
      <c r="C179" s="10" t="s">
        <v>27</v>
      </c>
      <c r="D179" s="10" t="n">
        <v>35</v>
      </c>
      <c r="E179" s="11" t="str">
        <f aca="false">IF(B179&lt;50,"Low",IF(B179&lt;70,"Mid","High"))</f>
        <v>Mid</v>
      </c>
      <c r="F179" s="11" t="str">
        <f aca="false">IF(D179&lt;24,"Short","Long")</f>
        <v>Long</v>
      </c>
      <c r="G179" s="10" t="s">
        <v>28</v>
      </c>
      <c r="H179" s="11" t="n">
        <f aca="false">IF(G179="Yes",1,0)</f>
        <v>0</v>
      </c>
    </row>
    <row r="180" customFormat="false" ht="15" hidden="false" customHeight="false" outlineLevel="0" collapsed="false">
      <c r="A180" s="10" t="n">
        <v>179</v>
      </c>
      <c r="B180" s="10" t="n">
        <v>56</v>
      </c>
      <c r="C180" s="10" t="s">
        <v>29</v>
      </c>
      <c r="D180" s="10" t="n">
        <v>11</v>
      </c>
      <c r="E180" s="11" t="str">
        <f aca="false">IF(B180&lt;50,"Low",IF(B180&lt;70,"Mid","High"))</f>
        <v>Mid</v>
      </c>
      <c r="F180" s="11" t="str">
        <f aca="false">IF(D180&lt;24,"Short","Long")</f>
        <v>Short</v>
      </c>
      <c r="G180" s="10" t="s">
        <v>28</v>
      </c>
      <c r="H180" s="11" t="n">
        <f aca="false">IF(G180="Yes",1,0)</f>
        <v>0</v>
      </c>
    </row>
    <row r="181" customFormat="false" ht="15" hidden="false" customHeight="false" outlineLevel="0" collapsed="false">
      <c r="A181" s="10" t="n">
        <v>180</v>
      </c>
      <c r="B181" s="10" t="n">
        <v>48</v>
      </c>
      <c r="C181" s="10" t="s">
        <v>27</v>
      </c>
      <c r="D181" s="10" t="n">
        <v>38</v>
      </c>
      <c r="E181" s="11" t="str">
        <f aca="false">IF(B181&lt;50,"Low",IF(B181&lt;70,"Mid","High"))</f>
        <v>Low</v>
      </c>
      <c r="F181" s="11" t="str">
        <f aca="false">IF(D181&lt;24,"Short","Long")</f>
        <v>Long</v>
      </c>
      <c r="G181" s="10" t="s">
        <v>28</v>
      </c>
      <c r="H181" s="11" t="n">
        <f aca="false">IF(G181="Yes",1,0)</f>
        <v>0</v>
      </c>
    </row>
    <row r="182" customFormat="false" ht="15" hidden="false" customHeight="false" outlineLevel="0" collapsed="false">
      <c r="A182" s="10" t="n">
        <v>181</v>
      </c>
      <c r="B182" s="10" t="n">
        <v>69</v>
      </c>
      <c r="C182" s="10" t="s">
        <v>29</v>
      </c>
      <c r="D182" s="10" t="n">
        <v>16</v>
      </c>
      <c r="E182" s="11" t="str">
        <f aca="false">IF(B182&lt;50,"Low",IF(B182&lt;70,"Mid","High"))</f>
        <v>Mid</v>
      </c>
      <c r="F182" s="11" t="str">
        <f aca="false">IF(D182&lt;24,"Short","Long")</f>
        <v>Short</v>
      </c>
      <c r="G182" s="10" t="s">
        <v>28</v>
      </c>
      <c r="H182" s="11" t="n">
        <f aca="false">IF(G182="Yes",1,0)</f>
        <v>0</v>
      </c>
    </row>
    <row r="183" customFormat="false" ht="15" hidden="false" customHeight="false" outlineLevel="0" collapsed="false">
      <c r="A183" s="10" t="n">
        <v>182</v>
      </c>
      <c r="B183" s="10" t="n">
        <v>64</v>
      </c>
      <c r="C183" s="10" t="s">
        <v>29</v>
      </c>
      <c r="D183" s="10" t="n">
        <v>14</v>
      </c>
      <c r="E183" s="11" t="str">
        <f aca="false">IF(B183&lt;50,"Low",IF(B183&lt;70,"Mid","High"))</f>
        <v>Mid</v>
      </c>
      <c r="F183" s="11" t="str">
        <f aca="false">IF(D183&lt;24,"Short","Long")</f>
        <v>Short</v>
      </c>
      <c r="G183" s="10" t="s">
        <v>30</v>
      </c>
      <c r="H183" s="11" t="n">
        <f aca="false">IF(G183="Yes",1,0)</f>
        <v>1</v>
      </c>
    </row>
    <row r="184" customFormat="false" ht="15" hidden="false" customHeight="false" outlineLevel="0" collapsed="false">
      <c r="A184" s="10" t="n">
        <v>183</v>
      </c>
      <c r="B184" s="10" t="n">
        <v>67</v>
      </c>
      <c r="C184" s="10" t="s">
        <v>27</v>
      </c>
      <c r="D184" s="10" t="n">
        <v>29</v>
      </c>
      <c r="E184" s="11" t="str">
        <f aca="false">IF(B184&lt;50,"Low",IF(B184&lt;70,"Mid","High"))</f>
        <v>Mid</v>
      </c>
      <c r="F184" s="11" t="str">
        <f aca="false">IF(D184&lt;24,"Short","Long")</f>
        <v>Long</v>
      </c>
      <c r="G184" s="10" t="s">
        <v>30</v>
      </c>
      <c r="H184" s="11" t="n">
        <f aca="false">IF(G184="Yes",1,0)</f>
        <v>1</v>
      </c>
    </row>
    <row r="185" customFormat="false" ht="15" hidden="false" customHeight="false" outlineLevel="0" collapsed="false">
      <c r="A185" s="10" t="n">
        <v>184</v>
      </c>
      <c r="B185" s="10" t="n">
        <v>71</v>
      </c>
      <c r="C185" s="10" t="s">
        <v>27</v>
      </c>
      <c r="D185" s="10" t="n">
        <v>31</v>
      </c>
      <c r="E185" s="11" t="str">
        <f aca="false">IF(B185&lt;50,"Low",IF(B185&lt;70,"Mid","High"))</f>
        <v>High</v>
      </c>
      <c r="F185" s="11" t="str">
        <f aca="false">IF(D185&lt;24,"Short","Long")</f>
        <v>Long</v>
      </c>
      <c r="G185" s="10" t="s">
        <v>28</v>
      </c>
      <c r="H185" s="11" t="n">
        <f aca="false">IF(G185="Yes",1,0)</f>
        <v>0</v>
      </c>
    </row>
    <row r="186" customFormat="false" ht="15" hidden="false" customHeight="false" outlineLevel="0" collapsed="false">
      <c r="A186" s="10" t="n">
        <v>185</v>
      </c>
      <c r="B186" s="10" t="n">
        <v>69</v>
      </c>
      <c r="C186" s="10" t="s">
        <v>27</v>
      </c>
      <c r="D186" s="10" t="n">
        <v>20</v>
      </c>
      <c r="E186" s="11" t="str">
        <f aca="false">IF(B186&lt;50,"Low",IF(B186&lt;70,"Mid","High"))</f>
        <v>Mid</v>
      </c>
      <c r="F186" s="11" t="str">
        <f aca="false">IF(D186&lt;24,"Short","Long")</f>
        <v>Short</v>
      </c>
      <c r="G186" s="10" t="s">
        <v>28</v>
      </c>
      <c r="H186" s="11" t="n">
        <f aca="false">IF(G186="Yes",1,0)</f>
        <v>0</v>
      </c>
    </row>
    <row r="187" customFormat="false" ht="15" hidden="false" customHeight="false" outlineLevel="0" collapsed="false">
      <c r="A187" s="10" t="n">
        <v>186</v>
      </c>
      <c r="B187" s="10" t="n">
        <v>71</v>
      </c>
      <c r="C187" s="10" t="s">
        <v>27</v>
      </c>
      <c r="D187" s="10" t="n">
        <v>26</v>
      </c>
      <c r="E187" s="11" t="str">
        <f aca="false">IF(B187&lt;50,"Low",IF(B187&lt;70,"Mid","High"))</f>
        <v>High</v>
      </c>
      <c r="F187" s="11" t="str">
        <f aca="false">IF(D187&lt;24,"Short","Long")</f>
        <v>Long</v>
      </c>
      <c r="G187" s="10" t="s">
        <v>30</v>
      </c>
      <c r="H187" s="11" t="n">
        <f aca="false">IF(G187="Yes",1,0)</f>
        <v>1</v>
      </c>
    </row>
    <row r="188" customFormat="false" ht="15" hidden="false" customHeight="false" outlineLevel="0" collapsed="false">
      <c r="A188" s="10" t="n">
        <v>187</v>
      </c>
      <c r="B188" s="10" t="n">
        <v>73</v>
      </c>
      <c r="C188" s="10" t="s">
        <v>27</v>
      </c>
      <c r="D188" s="10" t="n">
        <v>33</v>
      </c>
      <c r="E188" s="11" t="str">
        <f aca="false">IF(B188&lt;50,"Low",IF(B188&lt;70,"Mid","High"))</f>
        <v>High</v>
      </c>
      <c r="F188" s="11" t="str">
        <f aca="false">IF(D188&lt;24,"Short","Long")</f>
        <v>Long</v>
      </c>
      <c r="G188" s="10" t="s">
        <v>30</v>
      </c>
      <c r="H188" s="11" t="n">
        <f aca="false">IF(G188="Yes",1,0)</f>
        <v>1</v>
      </c>
    </row>
    <row r="189" customFormat="false" ht="15" hidden="false" customHeight="false" outlineLevel="0" collapsed="false">
      <c r="A189" s="10" t="n">
        <v>188</v>
      </c>
      <c r="B189" s="10" t="n">
        <v>75</v>
      </c>
      <c r="C189" s="10" t="s">
        <v>27</v>
      </c>
      <c r="D189" s="10" t="n">
        <v>34</v>
      </c>
      <c r="E189" s="11" t="str">
        <f aca="false">IF(B189&lt;50,"Low",IF(B189&lt;70,"Mid","High"))</f>
        <v>High</v>
      </c>
      <c r="F189" s="11" t="str">
        <f aca="false">IF(D189&lt;24,"Short","Long")</f>
        <v>Long</v>
      </c>
      <c r="G189" s="10" t="s">
        <v>28</v>
      </c>
      <c r="H189" s="11" t="n">
        <f aca="false">IF(G189="Yes",1,0)</f>
        <v>0</v>
      </c>
    </row>
    <row r="190" customFormat="false" ht="15" hidden="false" customHeight="false" outlineLevel="0" collapsed="false">
      <c r="A190" s="10" t="n">
        <v>189</v>
      </c>
      <c r="B190" s="10" t="n">
        <v>70</v>
      </c>
      <c r="C190" s="10" t="s">
        <v>29</v>
      </c>
      <c r="D190" s="10" t="n">
        <v>9</v>
      </c>
      <c r="E190" s="11" t="str">
        <f aca="false">IF(B190&lt;50,"Low",IF(B190&lt;70,"Mid","High"))</f>
        <v>High</v>
      </c>
      <c r="F190" s="11" t="str">
        <f aca="false">IF(D190&lt;24,"Short","Long")</f>
        <v>Short</v>
      </c>
      <c r="G190" s="10" t="s">
        <v>28</v>
      </c>
      <c r="H190" s="11" t="n">
        <f aca="false">IF(G190="Yes",1,0)</f>
        <v>0</v>
      </c>
    </row>
    <row r="191" customFormat="false" ht="15" hidden="false" customHeight="false" outlineLevel="0" collapsed="false">
      <c r="A191" s="10" t="n">
        <v>190</v>
      </c>
      <c r="B191" s="10" t="n">
        <v>47</v>
      </c>
      <c r="C191" s="10" t="s">
        <v>29</v>
      </c>
      <c r="D191" s="10" t="n">
        <v>13</v>
      </c>
      <c r="E191" s="11" t="str">
        <f aca="false">IF(B191&lt;50,"Low",IF(B191&lt;70,"Mid","High"))</f>
        <v>Low</v>
      </c>
      <c r="F191" s="11" t="str">
        <f aca="false">IF(D191&lt;24,"Short","Long")</f>
        <v>Short</v>
      </c>
      <c r="G191" s="10" t="s">
        <v>30</v>
      </c>
      <c r="H191" s="11" t="n">
        <f aca="false">IF(G191="Yes",1,0)</f>
        <v>1</v>
      </c>
    </row>
    <row r="192" customFormat="false" ht="15" hidden="false" customHeight="false" outlineLevel="0" collapsed="false">
      <c r="A192" s="10" t="n">
        <v>191</v>
      </c>
      <c r="B192" s="10" t="n">
        <v>42</v>
      </c>
      <c r="C192" s="10" t="s">
        <v>27</v>
      </c>
      <c r="D192" s="10" t="n">
        <v>41</v>
      </c>
      <c r="E192" s="11" t="str">
        <f aca="false">IF(B192&lt;50,"Low",IF(B192&lt;70,"Mid","High"))</f>
        <v>Low</v>
      </c>
      <c r="F192" s="11" t="str">
        <f aca="false">IF(D192&lt;24,"Short","Long")</f>
        <v>Long</v>
      </c>
      <c r="G192" s="10" t="s">
        <v>28</v>
      </c>
      <c r="H192" s="11" t="n">
        <f aca="false">IF(G192="Yes",1,0)</f>
        <v>0</v>
      </c>
    </row>
    <row r="193" customFormat="false" ht="15" hidden="false" customHeight="false" outlineLevel="0" collapsed="false">
      <c r="A193" s="10" t="n">
        <v>192</v>
      </c>
      <c r="B193" s="10" t="n">
        <v>73</v>
      </c>
      <c r="C193" s="10" t="s">
        <v>27</v>
      </c>
      <c r="D193" s="10" t="n">
        <v>36</v>
      </c>
      <c r="E193" s="11" t="str">
        <f aca="false">IF(B193&lt;50,"Low",IF(B193&lt;70,"Mid","High"))</f>
        <v>High</v>
      </c>
      <c r="F193" s="11" t="str">
        <f aca="false">IF(D193&lt;24,"Short","Long")</f>
        <v>Long</v>
      </c>
      <c r="G193" s="10" t="s">
        <v>28</v>
      </c>
      <c r="H193" s="11" t="n">
        <f aca="false">IF(G193="Yes",1,0)</f>
        <v>0</v>
      </c>
    </row>
    <row r="194" customFormat="false" ht="15" hidden="false" customHeight="false" outlineLevel="0" collapsed="false">
      <c r="A194" s="10" t="n">
        <v>193</v>
      </c>
      <c r="B194" s="10" t="n">
        <v>50</v>
      </c>
      <c r="C194" s="10" t="s">
        <v>27</v>
      </c>
      <c r="D194" s="10" t="n">
        <v>42</v>
      </c>
      <c r="E194" s="11" t="str">
        <f aca="false">IF(B194&lt;50,"Low",IF(B194&lt;70,"Mid","High"))</f>
        <v>Mid</v>
      </c>
      <c r="F194" s="11" t="str">
        <f aca="false">IF(D194&lt;24,"Short","Long")</f>
        <v>Long</v>
      </c>
      <c r="G194" s="10" t="s">
        <v>28</v>
      </c>
      <c r="H194" s="11" t="n">
        <f aca="false">IF(G194="Yes",1,0)</f>
        <v>0</v>
      </c>
    </row>
    <row r="195" customFormat="false" ht="15" hidden="false" customHeight="false" outlineLevel="0" collapsed="false">
      <c r="A195" s="10" t="n">
        <v>194</v>
      </c>
      <c r="B195" s="10" t="n">
        <v>61</v>
      </c>
      <c r="C195" s="10" t="s">
        <v>29</v>
      </c>
      <c r="D195" s="10" t="n">
        <v>18</v>
      </c>
      <c r="E195" s="11" t="str">
        <f aca="false">IF(B195&lt;50,"Low",IF(B195&lt;70,"Mid","High"))</f>
        <v>Mid</v>
      </c>
      <c r="F195" s="11" t="str">
        <f aca="false">IF(D195&lt;24,"Short","Long")</f>
        <v>Short</v>
      </c>
      <c r="G195" s="10" t="s">
        <v>30</v>
      </c>
      <c r="H195" s="11" t="n">
        <f aca="false">IF(G195="Yes",1,0)</f>
        <v>1</v>
      </c>
    </row>
    <row r="196" customFormat="false" ht="15" hidden="false" customHeight="false" outlineLevel="0" collapsed="false">
      <c r="A196" s="10" t="n">
        <v>195</v>
      </c>
      <c r="B196" s="10" t="n">
        <v>70</v>
      </c>
      <c r="C196" s="10" t="s">
        <v>27</v>
      </c>
      <c r="D196" s="10" t="n">
        <v>30</v>
      </c>
      <c r="E196" s="11" t="str">
        <f aca="false">IF(B196&lt;50,"Low",IF(B196&lt;70,"Mid","High"))</f>
        <v>High</v>
      </c>
      <c r="F196" s="11" t="str">
        <f aca="false">IF(D196&lt;24,"Short","Long")</f>
        <v>Long</v>
      </c>
      <c r="G196" s="10" t="s">
        <v>28</v>
      </c>
      <c r="H196" s="11" t="n">
        <f aca="false">IF(G196="Yes",1,0)</f>
        <v>0</v>
      </c>
    </row>
    <row r="197" customFormat="false" ht="15" hidden="false" customHeight="false" outlineLevel="0" collapsed="false">
      <c r="A197" s="10" t="n">
        <v>196</v>
      </c>
      <c r="B197" s="10" t="n">
        <v>54</v>
      </c>
      <c r="C197" s="10" t="s">
        <v>29</v>
      </c>
      <c r="D197" s="10" t="n">
        <v>17</v>
      </c>
      <c r="E197" s="11" t="str">
        <f aca="false">IF(B197&lt;50,"Low",IF(B197&lt;70,"Mid","High"))</f>
        <v>Mid</v>
      </c>
      <c r="F197" s="11" t="str">
        <f aca="false">IF(D197&lt;24,"Short","Long")</f>
        <v>Short</v>
      </c>
      <c r="G197" s="10" t="s">
        <v>28</v>
      </c>
      <c r="H197" s="11" t="n">
        <f aca="false">IF(G197="Yes",1,0)</f>
        <v>0</v>
      </c>
    </row>
    <row r="198" customFormat="false" ht="15" hidden="false" customHeight="false" outlineLevel="0" collapsed="false">
      <c r="A198" s="10" t="n">
        <v>197</v>
      </c>
      <c r="B198" s="10" t="n">
        <v>39</v>
      </c>
      <c r="C198" s="10" t="s">
        <v>27</v>
      </c>
      <c r="D198" s="10" t="n">
        <v>21</v>
      </c>
      <c r="E198" s="11" t="str">
        <f aca="false">IF(B198&lt;50,"Low",IF(B198&lt;70,"Mid","High"))</f>
        <v>Low</v>
      </c>
      <c r="F198" s="11" t="str">
        <f aca="false">IF(D198&lt;24,"Short","Long")</f>
        <v>Short</v>
      </c>
      <c r="G198" s="10" t="s">
        <v>28</v>
      </c>
      <c r="H198" s="11" t="n">
        <f aca="false">IF(G198="Yes",1,0)</f>
        <v>0</v>
      </c>
    </row>
    <row r="199" customFormat="false" ht="15" hidden="false" customHeight="false" outlineLevel="0" collapsed="false">
      <c r="A199" s="10" t="n">
        <v>198</v>
      </c>
      <c r="B199" s="10" t="n">
        <v>88</v>
      </c>
      <c r="C199" s="10" t="s">
        <v>29</v>
      </c>
      <c r="D199" s="10" t="n">
        <v>15</v>
      </c>
      <c r="E199" s="11" t="str">
        <f aca="false">IF(B199&lt;50,"Low",IF(B199&lt;70,"Mid","High"))</f>
        <v>High</v>
      </c>
      <c r="F199" s="11" t="str">
        <f aca="false">IF(D199&lt;24,"Short","Long")</f>
        <v>Short</v>
      </c>
      <c r="G199" s="10" t="s">
        <v>30</v>
      </c>
      <c r="H199" s="11" t="n">
        <f aca="false">IF(G199="Yes",1,0)</f>
        <v>1</v>
      </c>
    </row>
    <row r="200" customFormat="false" ht="15" hidden="false" customHeight="false" outlineLevel="0" collapsed="false">
      <c r="A200" s="10" t="n">
        <v>199</v>
      </c>
      <c r="B200" s="10" t="n">
        <v>59</v>
      </c>
      <c r="C200" s="10" t="s">
        <v>29</v>
      </c>
      <c r="D200" s="10" t="n">
        <v>9</v>
      </c>
      <c r="E200" s="11" t="str">
        <f aca="false">IF(B200&lt;50,"Low",IF(B200&lt;70,"Mid","High"))</f>
        <v>Mid</v>
      </c>
      <c r="F200" s="11" t="str">
        <f aca="false">IF(D200&lt;24,"Short","Long")</f>
        <v>Short</v>
      </c>
      <c r="G200" s="10" t="s">
        <v>28</v>
      </c>
      <c r="H200" s="11" t="n">
        <f aca="false">IF(G200="Yes",1,0)</f>
        <v>0</v>
      </c>
    </row>
    <row r="201" customFormat="false" ht="15" hidden="false" customHeight="false" outlineLevel="0" collapsed="false">
      <c r="A201" s="10" t="n">
        <v>200</v>
      </c>
      <c r="B201" s="10" t="n">
        <v>43</v>
      </c>
      <c r="C201" s="10" t="s">
        <v>27</v>
      </c>
      <c r="D201" s="10" t="n">
        <v>24</v>
      </c>
      <c r="E201" s="11" t="str">
        <f aca="false">IF(B201&lt;50,"Low",IF(B201&lt;70,"Mid","High"))</f>
        <v>Low</v>
      </c>
      <c r="F201" s="11" t="str">
        <f aca="false">IF(D201&lt;24,"Short","Long")</f>
        <v>Long</v>
      </c>
      <c r="G201" s="10" t="s">
        <v>28</v>
      </c>
      <c r="H201" s="11" t="n">
        <f aca="false">IF(G201="Yes",1,0)</f>
        <v>0</v>
      </c>
    </row>
    <row r="202" customFormat="false" ht="15" hidden="false" customHeight="false" outlineLevel="0" collapsed="false">
      <c r="A202" s="10" t="n">
        <v>201</v>
      </c>
      <c r="B202" s="10" t="n">
        <v>42</v>
      </c>
      <c r="C202" s="10" t="s">
        <v>27</v>
      </c>
      <c r="D202" s="10" t="n">
        <v>30</v>
      </c>
      <c r="E202" s="11" t="str">
        <f aca="false">IF(B202&lt;50,"Low",IF(B202&lt;70,"Mid","High"))</f>
        <v>Low</v>
      </c>
      <c r="F202" s="11" t="str">
        <f aca="false">IF(D202&lt;24,"Short","Long")</f>
        <v>Long</v>
      </c>
      <c r="G202" s="10" t="s">
        <v>28</v>
      </c>
      <c r="H202" s="11" t="n">
        <f aca="false">IF(G202="Yes",1,0)</f>
        <v>0</v>
      </c>
    </row>
    <row r="203" customFormat="false" ht="15" hidden="false" customHeight="false" outlineLevel="0" collapsed="false">
      <c r="A203" s="10" t="n">
        <v>202</v>
      </c>
      <c r="B203" s="10" t="n">
        <v>64</v>
      </c>
      <c r="C203" s="10" t="s">
        <v>27</v>
      </c>
      <c r="D203" s="10" t="n">
        <v>33</v>
      </c>
      <c r="E203" s="11" t="str">
        <f aca="false">IF(B203&lt;50,"Low",IF(B203&lt;70,"Mid","High"))</f>
        <v>Mid</v>
      </c>
      <c r="F203" s="11" t="str">
        <f aca="false">IF(D203&lt;24,"Short","Long")</f>
        <v>Long</v>
      </c>
      <c r="G203" s="10" t="s">
        <v>28</v>
      </c>
      <c r="H203" s="11" t="n">
        <f aca="false">IF(G203="Yes",1,0)</f>
        <v>0</v>
      </c>
    </row>
    <row r="204" customFormat="false" ht="15" hidden="false" customHeight="false" outlineLevel="0" collapsed="false">
      <c r="A204" s="10" t="n">
        <v>203</v>
      </c>
      <c r="B204" s="10" t="n">
        <v>70</v>
      </c>
      <c r="C204" s="10" t="s">
        <v>27</v>
      </c>
      <c r="D204" s="10" t="n">
        <v>37</v>
      </c>
      <c r="E204" s="11" t="str">
        <f aca="false">IF(B204&lt;50,"Low",IF(B204&lt;70,"Mid","High"))</f>
        <v>High</v>
      </c>
      <c r="F204" s="11" t="str">
        <f aca="false">IF(D204&lt;24,"Short","Long")</f>
        <v>Long</v>
      </c>
      <c r="G204" s="10" t="s">
        <v>30</v>
      </c>
      <c r="H204" s="11" t="n">
        <f aca="false">IF(G204="Yes",1,0)</f>
        <v>1</v>
      </c>
    </row>
    <row r="205" customFormat="false" ht="15" hidden="false" customHeight="false" outlineLevel="0" collapsed="false">
      <c r="A205" s="10" t="n">
        <v>204</v>
      </c>
      <c r="B205" s="10" t="n">
        <v>73</v>
      </c>
      <c r="C205" s="10" t="s">
        <v>29</v>
      </c>
      <c r="D205" s="10" t="n">
        <v>8</v>
      </c>
      <c r="E205" s="11" t="str">
        <f aca="false">IF(B205&lt;50,"Low",IF(B205&lt;70,"Mid","High"))</f>
        <v>High</v>
      </c>
      <c r="F205" s="11" t="str">
        <f aca="false">IF(D205&lt;24,"Short","Long")</f>
        <v>Short</v>
      </c>
      <c r="G205" s="10" t="s">
        <v>30</v>
      </c>
      <c r="H205" s="11" t="n">
        <f aca="false">IF(G205="Yes",1,0)</f>
        <v>1</v>
      </c>
    </row>
    <row r="206" customFormat="false" ht="15" hidden="false" customHeight="false" outlineLevel="0" collapsed="false">
      <c r="A206" s="10" t="n">
        <v>205</v>
      </c>
      <c r="B206" s="10" t="n">
        <v>54</v>
      </c>
      <c r="C206" s="10" t="s">
        <v>29</v>
      </c>
      <c r="D206" s="10" t="n">
        <v>9</v>
      </c>
      <c r="E206" s="11" t="str">
        <f aca="false">IF(B206&lt;50,"Low",IF(B206&lt;70,"Mid","High"))</f>
        <v>Mid</v>
      </c>
      <c r="F206" s="11" t="str">
        <f aca="false">IF(D206&lt;24,"Short","Long")</f>
        <v>Short</v>
      </c>
      <c r="G206" s="10" t="s">
        <v>28</v>
      </c>
      <c r="H206" s="11" t="n">
        <f aca="false">IF(G206="Yes",1,0)</f>
        <v>0</v>
      </c>
    </row>
    <row r="207" customFormat="false" ht="15" hidden="false" customHeight="false" outlineLevel="0" collapsed="false">
      <c r="A207" s="10" t="n">
        <v>206</v>
      </c>
      <c r="B207" s="10" t="n">
        <v>62</v>
      </c>
      <c r="C207" s="10" t="s">
        <v>29</v>
      </c>
      <c r="D207" s="10" t="n">
        <v>15</v>
      </c>
      <c r="E207" s="11" t="str">
        <f aca="false">IF(B207&lt;50,"Low",IF(B207&lt;70,"Mid","High"))</f>
        <v>Mid</v>
      </c>
      <c r="F207" s="11" t="str">
        <f aca="false">IF(D207&lt;24,"Short","Long")</f>
        <v>Short</v>
      </c>
      <c r="G207" s="10" t="s">
        <v>30</v>
      </c>
      <c r="H207" s="11" t="n">
        <f aca="false">IF(G207="Yes",1,0)</f>
        <v>1</v>
      </c>
    </row>
    <row r="208" customFormat="false" ht="15" hidden="false" customHeight="false" outlineLevel="0" collapsed="false">
      <c r="A208" s="10" t="n">
        <v>207</v>
      </c>
      <c r="B208" s="10" t="n">
        <v>74</v>
      </c>
      <c r="C208" s="10" t="s">
        <v>27</v>
      </c>
      <c r="D208" s="10" t="n">
        <v>32</v>
      </c>
      <c r="E208" s="11" t="str">
        <f aca="false">IF(B208&lt;50,"Low",IF(B208&lt;70,"Mid","High"))</f>
        <v>High</v>
      </c>
      <c r="F208" s="11" t="str">
        <f aca="false">IF(D208&lt;24,"Short","Long")</f>
        <v>Long</v>
      </c>
      <c r="G208" s="10" t="s">
        <v>28</v>
      </c>
      <c r="H208" s="11" t="n">
        <f aca="false">IF(G208="Yes",1,0)</f>
        <v>0</v>
      </c>
    </row>
    <row r="209" customFormat="false" ht="15" hidden="false" customHeight="false" outlineLevel="0" collapsed="false">
      <c r="A209" s="10" t="n">
        <v>208</v>
      </c>
      <c r="B209" s="10" t="n">
        <v>57</v>
      </c>
      <c r="C209" s="10" t="s">
        <v>27</v>
      </c>
      <c r="D209" s="10" t="n">
        <v>33</v>
      </c>
      <c r="E209" s="11" t="str">
        <f aca="false">IF(B209&lt;50,"Low",IF(B209&lt;70,"Mid","High"))</f>
        <v>Mid</v>
      </c>
      <c r="F209" s="11" t="str">
        <f aca="false">IF(D209&lt;24,"Short","Long")</f>
        <v>Long</v>
      </c>
      <c r="G209" s="10" t="s">
        <v>28</v>
      </c>
      <c r="H209" s="11" t="n">
        <f aca="false">IF(G209="Yes",1,0)</f>
        <v>0</v>
      </c>
    </row>
    <row r="210" customFormat="false" ht="15" hidden="false" customHeight="false" outlineLevel="0" collapsed="false">
      <c r="A210" s="10" t="n">
        <v>209</v>
      </c>
      <c r="B210" s="10" t="n">
        <v>68</v>
      </c>
      <c r="C210" s="10" t="s">
        <v>27</v>
      </c>
      <c r="D210" s="10" t="n">
        <v>28</v>
      </c>
      <c r="E210" s="11" t="str">
        <f aca="false">IF(B210&lt;50,"Low",IF(B210&lt;70,"Mid","High"))</f>
        <v>Mid</v>
      </c>
      <c r="F210" s="11" t="str">
        <f aca="false">IF(D210&lt;24,"Short","Long")</f>
        <v>Long</v>
      </c>
      <c r="G210" s="10" t="s">
        <v>30</v>
      </c>
      <c r="H210" s="11" t="n">
        <f aca="false">IF(G210="Yes",1,0)</f>
        <v>1</v>
      </c>
    </row>
    <row r="211" customFormat="false" ht="15" hidden="false" customHeight="false" outlineLevel="0" collapsed="false">
      <c r="A211" s="10" t="n">
        <v>210</v>
      </c>
      <c r="B211" s="10" t="n">
        <v>73</v>
      </c>
      <c r="C211" s="10" t="s">
        <v>27</v>
      </c>
      <c r="D211" s="10" t="n">
        <v>49</v>
      </c>
      <c r="E211" s="11" t="str">
        <f aca="false">IF(B211&lt;50,"Low",IF(B211&lt;70,"Mid","High"))</f>
        <v>High</v>
      </c>
      <c r="F211" s="11" t="str">
        <f aca="false">IF(D211&lt;24,"Short","Long")</f>
        <v>Long</v>
      </c>
      <c r="G211" s="10" t="s">
        <v>30</v>
      </c>
      <c r="H211" s="11" t="n">
        <f aca="false">IF(G211="Yes",1,0)</f>
        <v>1</v>
      </c>
    </row>
    <row r="212" customFormat="false" ht="15" hidden="false" customHeight="false" outlineLevel="0" collapsed="false">
      <c r="A212" s="10" t="n">
        <v>211</v>
      </c>
      <c r="B212" s="10" t="n">
        <v>43</v>
      </c>
      <c r="C212" s="10" t="s">
        <v>27</v>
      </c>
      <c r="D212" s="10" t="n">
        <v>41</v>
      </c>
      <c r="E212" s="11" t="str">
        <f aca="false">IF(B212&lt;50,"Low",IF(B212&lt;70,"Mid","High"))</f>
        <v>Low</v>
      </c>
      <c r="F212" s="11" t="str">
        <f aca="false">IF(D212&lt;24,"Short","Long")</f>
        <v>Long</v>
      </c>
      <c r="G212" s="10" t="s">
        <v>28</v>
      </c>
      <c r="H212" s="11" t="n">
        <f aca="false">IF(G212="Yes",1,0)</f>
        <v>0</v>
      </c>
    </row>
    <row r="213" customFormat="false" ht="15" hidden="false" customHeight="false" outlineLevel="0" collapsed="false">
      <c r="A213" s="10" t="n">
        <v>212</v>
      </c>
      <c r="B213" s="10" t="n">
        <v>64</v>
      </c>
      <c r="C213" s="10" t="s">
        <v>29</v>
      </c>
      <c r="D213" s="10" t="n">
        <v>18</v>
      </c>
      <c r="E213" s="11" t="str">
        <f aca="false">IF(B213&lt;50,"Low",IF(B213&lt;70,"Mid","High"))</f>
        <v>Mid</v>
      </c>
      <c r="F213" s="11" t="str">
        <f aca="false">IF(D213&lt;24,"Short","Long")</f>
        <v>Short</v>
      </c>
      <c r="G213" s="10" t="s">
        <v>30</v>
      </c>
      <c r="H213" s="11" t="n">
        <f aca="false">IF(G213="Yes",1,0)</f>
        <v>1</v>
      </c>
    </row>
    <row r="214" customFormat="false" ht="15" hidden="false" customHeight="false" outlineLevel="0" collapsed="false">
      <c r="A214" s="10" t="n">
        <v>213</v>
      </c>
      <c r="B214" s="10" t="n">
        <v>73</v>
      </c>
      <c r="C214" s="10" t="s">
        <v>29</v>
      </c>
      <c r="D214" s="10" t="n">
        <v>31</v>
      </c>
      <c r="E214" s="11" t="str">
        <f aca="false">IF(B214&lt;50,"Low",IF(B214&lt;70,"Mid","High"))</f>
        <v>High</v>
      </c>
      <c r="F214" s="11" t="str">
        <f aca="false">IF(D214&lt;24,"Short","Long")</f>
        <v>Long</v>
      </c>
      <c r="G214" s="10" t="s">
        <v>30</v>
      </c>
      <c r="H214" s="11" t="n">
        <f aca="false">IF(G214="Yes",1,0)</f>
        <v>1</v>
      </c>
    </row>
    <row r="215" customFormat="false" ht="15" hidden="false" customHeight="false" outlineLevel="0" collapsed="false">
      <c r="A215" s="10" t="n">
        <v>214</v>
      </c>
      <c r="B215" s="10" t="n">
        <v>27</v>
      </c>
      <c r="C215" s="10" t="s">
        <v>27</v>
      </c>
      <c r="D215" s="10" t="n">
        <v>17</v>
      </c>
      <c r="E215" s="11" t="str">
        <f aca="false">IF(B215&lt;50,"Low",IF(B215&lt;70,"Mid","High"))</f>
        <v>Low</v>
      </c>
      <c r="F215" s="11" t="str">
        <f aca="false">IF(D215&lt;24,"Short","Long")</f>
        <v>Short</v>
      </c>
      <c r="G215" s="10" t="s">
        <v>28</v>
      </c>
      <c r="H215" s="11" t="n">
        <f aca="false">IF(G215="Yes",1,0)</f>
        <v>0</v>
      </c>
    </row>
    <row r="216" customFormat="false" ht="15" hidden="false" customHeight="false" outlineLevel="0" collapsed="false">
      <c r="A216" s="10" t="n">
        <v>215</v>
      </c>
      <c r="B216" s="10" t="n">
        <v>77</v>
      </c>
      <c r="C216" s="10" t="s">
        <v>29</v>
      </c>
      <c r="D216" s="10" t="n">
        <v>23</v>
      </c>
      <c r="E216" s="11" t="str">
        <f aca="false">IF(B216&lt;50,"Low",IF(B216&lt;70,"Mid","High"))</f>
        <v>High</v>
      </c>
      <c r="F216" s="11" t="str">
        <f aca="false">IF(D216&lt;24,"Short","Long")</f>
        <v>Short</v>
      </c>
      <c r="G216" s="10" t="s">
        <v>30</v>
      </c>
      <c r="H216" s="11" t="n">
        <f aca="false">IF(G216="Yes",1,0)</f>
        <v>1</v>
      </c>
    </row>
    <row r="217" customFormat="false" ht="15" hidden="false" customHeight="false" outlineLevel="0" collapsed="false">
      <c r="A217" s="10" t="n">
        <v>216</v>
      </c>
      <c r="B217" s="10" t="n">
        <v>63</v>
      </c>
      <c r="C217" s="10" t="s">
        <v>27</v>
      </c>
      <c r="D217" s="10" t="n">
        <v>21</v>
      </c>
      <c r="E217" s="11" t="str">
        <f aca="false">IF(B217&lt;50,"Low",IF(B217&lt;70,"Mid","High"))</f>
        <v>Mid</v>
      </c>
      <c r="F217" s="11" t="str">
        <f aca="false">IF(D217&lt;24,"Short","Long")</f>
        <v>Short</v>
      </c>
      <c r="G217" s="10" t="s">
        <v>28</v>
      </c>
      <c r="H217" s="11" t="n">
        <f aca="false">IF(G217="Yes",1,0)</f>
        <v>0</v>
      </c>
    </row>
    <row r="218" customFormat="false" ht="15" hidden="false" customHeight="false" outlineLevel="0" collapsed="false">
      <c r="A218" s="10" t="n">
        <v>217</v>
      </c>
      <c r="B218" s="10" t="n">
        <v>69</v>
      </c>
      <c r="C218" s="10" t="s">
        <v>29</v>
      </c>
      <c r="D218" s="10" t="n">
        <v>21</v>
      </c>
      <c r="E218" s="11" t="str">
        <f aca="false">IF(B218&lt;50,"Low",IF(B218&lt;70,"Mid","High"))</f>
        <v>Mid</v>
      </c>
      <c r="F218" s="11" t="str">
        <f aca="false">IF(D218&lt;24,"Short","Long")</f>
        <v>Short</v>
      </c>
      <c r="G218" s="10" t="s">
        <v>30</v>
      </c>
      <c r="H218" s="11" t="n">
        <f aca="false">IF(G218="Yes",1,0)</f>
        <v>1</v>
      </c>
    </row>
    <row r="219" customFormat="false" ht="15" hidden="false" customHeight="false" outlineLevel="0" collapsed="false">
      <c r="A219" s="10" t="n">
        <v>218</v>
      </c>
      <c r="B219" s="10" t="n">
        <v>70</v>
      </c>
      <c r="C219" s="10" t="s">
        <v>29</v>
      </c>
      <c r="D219" s="10" t="n">
        <v>12</v>
      </c>
      <c r="E219" s="11" t="str">
        <f aca="false">IF(B219&lt;50,"Low",IF(B219&lt;70,"Mid","High"))</f>
        <v>High</v>
      </c>
      <c r="F219" s="11" t="str">
        <f aca="false">IF(D219&lt;24,"Short","Long")</f>
        <v>Short</v>
      </c>
      <c r="G219" s="10" t="s">
        <v>30</v>
      </c>
      <c r="H219" s="11" t="n">
        <f aca="false">IF(G219="Yes",1,0)</f>
        <v>1</v>
      </c>
    </row>
    <row r="220" customFormat="false" ht="15" hidden="false" customHeight="false" outlineLevel="0" collapsed="false">
      <c r="A220" s="10" t="n">
        <v>219</v>
      </c>
      <c r="B220" s="10" t="n">
        <v>67</v>
      </c>
      <c r="C220" s="10" t="s">
        <v>27</v>
      </c>
      <c r="D220" s="10" t="n">
        <v>33</v>
      </c>
      <c r="E220" s="11" t="str">
        <f aca="false">IF(B220&lt;50,"Low",IF(B220&lt;70,"Mid","High"))</f>
        <v>Mid</v>
      </c>
      <c r="F220" s="11" t="str">
        <f aca="false">IF(D220&lt;24,"Short","Long")</f>
        <v>Long</v>
      </c>
      <c r="G220" s="10" t="s">
        <v>28</v>
      </c>
      <c r="H220" s="11" t="n">
        <f aca="false">IF(G220="Yes",1,0)</f>
        <v>0</v>
      </c>
    </row>
    <row r="221" customFormat="false" ht="15" hidden="false" customHeight="false" outlineLevel="0" collapsed="false">
      <c r="A221" s="10" t="n">
        <v>220</v>
      </c>
      <c r="B221" s="10" t="n">
        <v>68</v>
      </c>
      <c r="C221" s="10" t="s">
        <v>29</v>
      </c>
      <c r="D221" s="10" t="n">
        <v>11</v>
      </c>
      <c r="E221" s="11" t="str">
        <f aca="false">IF(B221&lt;50,"Low",IF(B221&lt;70,"Mid","High"))</f>
        <v>Mid</v>
      </c>
      <c r="F221" s="11" t="str">
        <f aca="false">IF(D221&lt;24,"Short","Long")</f>
        <v>Short</v>
      </c>
      <c r="G221" s="10" t="s">
        <v>30</v>
      </c>
      <c r="H221" s="11" t="n">
        <f aca="false">IF(G221="Yes",1,0)</f>
        <v>1</v>
      </c>
    </row>
    <row r="222" customFormat="false" ht="15" hidden="false" customHeight="false" outlineLevel="0" collapsed="false">
      <c r="A222" s="10" t="n">
        <v>221</v>
      </c>
      <c r="B222" s="10" t="n">
        <v>67</v>
      </c>
      <c r="C222" s="10" t="s">
        <v>27</v>
      </c>
      <c r="D222" s="10" t="n">
        <v>31</v>
      </c>
      <c r="E222" s="11" t="str">
        <f aca="false">IF(B222&lt;50,"Low",IF(B222&lt;70,"Mid","High"))</f>
        <v>Mid</v>
      </c>
      <c r="F222" s="11" t="str">
        <f aca="false">IF(D222&lt;24,"Short","Long")</f>
        <v>Long</v>
      </c>
      <c r="G222" s="10" t="s">
        <v>28</v>
      </c>
      <c r="H222" s="11" t="n">
        <f aca="false">IF(G222="Yes",1,0)</f>
        <v>0</v>
      </c>
    </row>
    <row r="223" customFormat="false" ht="15" hidden="false" customHeight="false" outlineLevel="0" collapsed="false">
      <c r="A223" s="10" t="n">
        <v>222</v>
      </c>
      <c r="B223" s="10" t="n">
        <v>65</v>
      </c>
      <c r="C223" s="10" t="s">
        <v>29</v>
      </c>
      <c r="D223" s="10" t="n">
        <v>17</v>
      </c>
      <c r="E223" s="11" t="str">
        <f aca="false">IF(B223&lt;50,"Low",IF(B223&lt;70,"Mid","High"))</f>
        <v>Mid</v>
      </c>
      <c r="F223" s="11" t="str">
        <f aca="false">IF(D223&lt;24,"Short","Long")</f>
        <v>Short</v>
      </c>
      <c r="G223" s="10" t="s">
        <v>28</v>
      </c>
      <c r="H223" s="11" t="n">
        <f aca="false">IF(G223="Yes",1,0)</f>
        <v>0</v>
      </c>
    </row>
    <row r="224" customFormat="false" ht="15" hidden="false" customHeight="false" outlineLevel="0" collapsed="false">
      <c r="A224" s="10" t="n">
        <v>223</v>
      </c>
      <c r="B224" s="10" t="n">
        <v>56</v>
      </c>
      <c r="C224" s="10" t="s">
        <v>27</v>
      </c>
      <c r="D224" s="10" t="n">
        <v>30</v>
      </c>
      <c r="E224" s="11" t="str">
        <f aca="false">IF(B224&lt;50,"Low",IF(B224&lt;70,"Mid","High"))</f>
        <v>Mid</v>
      </c>
      <c r="F224" s="11" t="str">
        <f aca="false">IF(D224&lt;24,"Short","Long")</f>
        <v>Long</v>
      </c>
      <c r="G224" s="10" t="s">
        <v>28</v>
      </c>
      <c r="H224" s="11" t="n">
        <f aca="false">IF(G224="Yes",1,0)</f>
        <v>0</v>
      </c>
    </row>
    <row r="225" customFormat="false" ht="15" hidden="false" customHeight="false" outlineLevel="0" collapsed="false">
      <c r="A225" s="10" t="n">
        <v>224</v>
      </c>
      <c r="B225" s="10" t="n">
        <v>79</v>
      </c>
      <c r="C225" s="10" t="s">
        <v>29</v>
      </c>
      <c r="D225" s="10" t="n">
        <v>4</v>
      </c>
      <c r="E225" s="11" t="str">
        <f aca="false">IF(B225&lt;50,"Low",IF(B225&lt;70,"Mid","High"))</f>
        <v>High</v>
      </c>
      <c r="F225" s="11" t="str">
        <f aca="false">IF(D225&lt;24,"Short","Long")</f>
        <v>Short</v>
      </c>
      <c r="G225" s="10" t="s">
        <v>30</v>
      </c>
      <c r="H225" s="11" t="n">
        <f aca="false">IF(G225="Yes",1,0)</f>
        <v>1</v>
      </c>
    </row>
    <row r="226" customFormat="false" ht="15" hidden="false" customHeight="false" outlineLevel="0" collapsed="false">
      <c r="A226" s="10" t="n">
        <v>225</v>
      </c>
      <c r="B226" s="10" t="n">
        <v>55</v>
      </c>
      <c r="C226" s="10" t="s">
        <v>27</v>
      </c>
      <c r="D226" s="10" t="n">
        <v>25</v>
      </c>
      <c r="E226" s="11" t="str">
        <f aca="false">IF(B226&lt;50,"Low",IF(B226&lt;70,"Mid","High"))</f>
        <v>Mid</v>
      </c>
      <c r="F226" s="11" t="str">
        <f aca="false">IF(D226&lt;24,"Short","Long")</f>
        <v>Long</v>
      </c>
      <c r="G226" s="10" t="s">
        <v>28</v>
      </c>
      <c r="H226" s="11" t="n">
        <f aca="false">IF(G226="Yes",1,0)</f>
        <v>0</v>
      </c>
    </row>
    <row r="227" customFormat="false" ht="15" hidden="false" customHeight="false" outlineLevel="0" collapsed="false">
      <c r="A227" s="10" t="n">
        <v>226</v>
      </c>
      <c r="B227" s="10" t="n">
        <v>41</v>
      </c>
      <c r="C227" s="10" t="s">
        <v>27</v>
      </c>
      <c r="D227" s="10" t="n">
        <v>33</v>
      </c>
      <c r="E227" s="11" t="str">
        <f aca="false">IF(B227&lt;50,"Low",IF(B227&lt;70,"Mid","High"))</f>
        <v>Low</v>
      </c>
      <c r="F227" s="11" t="str">
        <f aca="false">IF(D227&lt;24,"Short","Long")</f>
        <v>Long</v>
      </c>
      <c r="G227" s="10" t="s">
        <v>28</v>
      </c>
      <c r="H227" s="11" t="n">
        <f aca="false">IF(G227="Yes",1,0)</f>
        <v>0</v>
      </c>
    </row>
    <row r="228" customFormat="false" ht="15" hidden="false" customHeight="false" outlineLevel="0" collapsed="false">
      <c r="A228" s="10" t="n">
        <v>227</v>
      </c>
      <c r="B228" s="10" t="n">
        <v>59</v>
      </c>
      <c r="C228" s="10" t="s">
        <v>29</v>
      </c>
      <c r="D228" s="10" t="n">
        <v>18</v>
      </c>
      <c r="E228" s="11" t="str">
        <f aca="false">IF(B228&lt;50,"Low",IF(B228&lt;70,"Mid","High"))</f>
        <v>Mid</v>
      </c>
      <c r="F228" s="11" t="str">
        <f aca="false">IF(D228&lt;24,"Short","Long")</f>
        <v>Short</v>
      </c>
      <c r="G228" s="10" t="s">
        <v>28</v>
      </c>
      <c r="H228" s="11" t="n">
        <f aca="false">IF(G228="Yes",1,0)</f>
        <v>0</v>
      </c>
    </row>
    <row r="229" customFormat="false" ht="15" hidden="false" customHeight="false" outlineLevel="0" collapsed="false">
      <c r="A229" s="10" t="n">
        <v>228</v>
      </c>
      <c r="B229" s="10" t="n">
        <v>29</v>
      </c>
      <c r="C229" s="10" t="s">
        <v>27</v>
      </c>
      <c r="D229" s="10" t="n">
        <v>43</v>
      </c>
      <c r="E229" s="11" t="str">
        <f aca="false">IF(B229&lt;50,"Low",IF(B229&lt;70,"Mid","High"))</f>
        <v>Low</v>
      </c>
      <c r="F229" s="11" t="str">
        <f aca="false">IF(D229&lt;24,"Short","Long")</f>
        <v>Long</v>
      </c>
      <c r="G229" s="10" t="s">
        <v>28</v>
      </c>
      <c r="H229" s="11" t="n">
        <f aca="false">IF(G229="Yes",1,0)</f>
        <v>0</v>
      </c>
    </row>
    <row r="230" customFormat="false" ht="15" hidden="false" customHeight="false" outlineLevel="0" collapsed="false">
      <c r="A230" s="10" t="n">
        <v>229</v>
      </c>
      <c r="B230" s="10" t="n">
        <v>59</v>
      </c>
      <c r="C230" s="10" t="s">
        <v>27</v>
      </c>
      <c r="D230" s="10" t="n">
        <v>35</v>
      </c>
      <c r="E230" s="11" t="str">
        <f aca="false">IF(B230&lt;50,"Low",IF(B230&lt;70,"Mid","High"))</f>
        <v>Mid</v>
      </c>
      <c r="F230" s="11" t="str">
        <f aca="false">IF(D230&lt;24,"Short","Long")</f>
        <v>Long</v>
      </c>
      <c r="G230" s="10" t="s">
        <v>28</v>
      </c>
      <c r="H230" s="11" t="n">
        <f aca="false">IF(G230="Yes",1,0)</f>
        <v>0</v>
      </c>
    </row>
    <row r="231" customFormat="false" ht="15" hidden="false" customHeight="false" outlineLevel="0" collapsed="false">
      <c r="A231" s="10" t="n">
        <v>230</v>
      </c>
      <c r="B231" s="10" t="n">
        <v>69</v>
      </c>
      <c r="C231" s="10" t="s">
        <v>29</v>
      </c>
      <c r="D231" s="10" t="n">
        <v>21</v>
      </c>
      <c r="E231" s="11" t="str">
        <f aca="false">IF(B231&lt;50,"Low",IF(B231&lt;70,"Mid","High"))</f>
        <v>Mid</v>
      </c>
      <c r="F231" s="11" t="str">
        <f aca="false">IF(D231&lt;24,"Short","Long")</f>
        <v>Short</v>
      </c>
      <c r="G231" s="10" t="s">
        <v>28</v>
      </c>
      <c r="H231" s="11" t="n">
        <f aca="false">IF(G231="Yes",1,0)</f>
        <v>0</v>
      </c>
    </row>
    <row r="232" customFormat="false" ht="15" hidden="false" customHeight="false" outlineLevel="0" collapsed="false">
      <c r="A232" s="10" t="n">
        <v>231</v>
      </c>
      <c r="B232" s="10" t="n">
        <v>64</v>
      </c>
      <c r="C232" s="10" t="s">
        <v>29</v>
      </c>
      <c r="D232" s="10" t="n">
        <v>16</v>
      </c>
      <c r="E232" s="11" t="str">
        <f aca="false">IF(B232&lt;50,"Low",IF(B232&lt;70,"Mid","High"))</f>
        <v>Mid</v>
      </c>
      <c r="F232" s="11" t="str">
        <f aca="false">IF(D232&lt;24,"Short","Long")</f>
        <v>Short</v>
      </c>
      <c r="G232" s="10" t="s">
        <v>30</v>
      </c>
      <c r="H232" s="11" t="n">
        <f aca="false">IF(G232="Yes",1,0)</f>
        <v>1</v>
      </c>
    </row>
    <row r="233" customFormat="false" ht="15" hidden="false" customHeight="false" outlineLevel="0" collapsed="false">
      <c r="A233" s="10" t="n">
        <v>232</v>
      </c>
      <c r="B233" s="10" t="n">
        <v>59</v>
      </c>
      <c r="C233" s="10" t="s">
        <v>29</v>
      </c>
      <c r="D233" s="10" t="n">
        <v>11</v>
      </c>
      <c r="E233" s="11" t="str">
        <f aca="false">IF(B233&lt;50,"Low",IF(B233&lt;70,"Mid","High"))</f>
        <v>Mid</v>
      </c>
      <c r="F233" s="11" t="str">
        <f aca="false">IF(D233&lt;24,"Short","Long")</f>
        <v>Short</v>
      </c>
      <c r="G233" s="10" t="s">
        <v>30</v>
      </c>
      <c r="H233" s="11" t="n">
        <f aca="false">IF(G233="Yes",1,0)</f>
        <v>1</v>
      </c>
    </row>
    <row r="234" customFormat="false" ht="15" hidden="false" customHeight="false" outlineLevel="0" collapsed="false">
      <c r="A234" s="10" t="n">
        <v>233</v>
      </c>
      <c r="B234" s="10" t="n">
        <v>58</v>
      </c>
      <c r="C234" s="10" t="s">
        <v>29</v>
      </c>
      <c r="D234" s="10" t="n">
        <v>20</v>
      </c>
      <c r="E234" s="11" t="str">
        <f aca="false">IF(B234&lt;50,"Low",IF(B234&lt;70,"Mid","High"))</f>
        <v>Mid</v>
      </c>
      <c r="F234" s="11" t="str">
        <f aca="false">IF(D234&lt;24,"Short","Long")</f>
        <v>Short</v>
      </c>
      <c r="G234" s="10" t="s">
        <v>28</v>
      </c>
      <c r="H234" s="11" t="n">
        <f aca="false">IF(G234="Yes",1,0)</f>
        <v>0</v>
      </c>
    </row>
    <row r="235" customFormat="false" ht="15" hidden="false" customHeight="false" outlineLevel="0" collapsed="false">
      <c r="A235" s="10" t="n">
        <v>234</v>
      </c>
      <c r="B235" s="10" t="n">
        <v>43</v>
      </c>
      <c r="C235" s="10" t="s">
        <v>29</v>
      </c>
      <c r="D235" s="10" t="n">
        <v>13</v>
      </c>
      <c r="E235" s="11" t="str">
        <f aca="false">IF(B235&lt;50,"Low",IF(B235&lt;70,"Mid","High"))</f>
        <v>Low</v>
      </c>
      <c r="F235" s="11" t="str">
        <f aca="false">IF(D235&lt;24,"Short","Long")</f>
        <v>Short</v>
      </c>
      <c r="G235" s="10" t="s">
        <v>28</v>
      </c>
      <c r="H235" s="11" t="n">
        <f aca="false">IF(G235="Yes",1,0)</f>
        <v>0</v>
      </c>
    </row>
    <row r="236" customFormat="false" ht="15" hidden="false" customHeight="false" outlineLevel="0" collapsed="false">
      <c r="A236" s="10" t="n">
        <v>235</v>
      </c>
      <c r="B236" s="10" t="n">
        <v>52</v>
      </c>
      <c r="C236" s="10" t="s">
        <v>29</v>
      </c>
      <c r="D236" s="10" t="n">
        <v>21</v>
      </c>
      <c r="E236" s="11" t="str">
        <f aca="false">IF(B236&lt;50,"Low",IF(B236&lt;70,"Mid","High"))</f>
        <v>Mid</v>
      </c>
      <c r="F236" s="11" t="str">
        <f aca="false">IF(D236&lt;24,"Short","Long")</f>
        <v>Short</v>
      </c>
      <c r="G236" s="10" t="s">
        <v>28</v>
      </c>
      <c r="H236" s="11" t="n">
        <f aca="false">IF(G236="Yes",1,0)</f>
        <v>0</v>
      </c>
    </row>
    <row r="237" customFormat="false" ht="15" hidden="false" customHeight="false" outlineLevel="0" collapsed="false">
      <c r="A237" s="10" t="n">
        <v>236</v>
      </c>
      <c r="B237" s="10" t="n">
        <v>60</v>
      </c>
      <c r="C237" s="10" t="s">
        <v>27</v>
      </c>
      <c r="D237" s="10" t="n">
        <v>29</v>
      </c>
      <c r="E237" s="11" t="str">
        <f aca="false">IF(B237&lt;50,"Low",IF(B237&lt;70,"Mid","High"))</f>
        <v>Mid</v>
      </c>
      <c r="F237" s="11" t="str">
        <f aca="false">IF(D237&lt;24,"Short","Long")</f>
        <v>Long</v>
      </c>
      <c r="G237" s="10" t="s">
        <v>28</v>
      </c>
      <c r="H237" s="11" t="n">
        <f aca="false">IF(G237="Yes",1,0)</f>
        <v>0</v>
      </c>
    </row>
    <row r="238" customFormat="false" ht="15" hidden="false" customHeight="false" outlineLevel="0" collapsed="false">
      <c r="A238" s="10" t="n">
        <v>237</v>
      </c>
      <c r="B238" s="10" t="n">
        <v>56</v>
      </c>
      <c r="C238" s="10" t="s">
        <v>27</v>
      </c>
      <c r="D238" s="10" t="n">
        <v>31</v>
      </c>
      <c r="E238" s="11" t="str">
        <f aca="false">IF(B238&lt;50,"Low",IF(B238&lt;70,"Mid","High"))</f>
        <v>Mid</v>
      </c>
      <c r="F238" s="11" t="str">
        <f aca="false">IF(D238&lt;24,"Short","Long")</f>
        <v>Long</v>
      </c>
      <c r="G238" s="10" t="s">
        <v>28</v>
      </c>
      <c r="H238" s="11" t="n">
        <f aca="false">IF(G238="Yes",1,0)</f>
        <v>0</v>
      </c>
    </row>
    <row r="239" customFormat="false" ht="15" hidden="false" customHeight="false" outlineLevel="0" collapsed="false">
      <c r="A239" s="10" t="n">
        <v>238</v>
      </c>
      <c r="B239" s="10" t="n">
        <v>20</v>
      </c>
      <c r="C239" s="10" t="s">
        <v>29</v>
      </c>
      <c r="D239" s="10" t="n">
        <v>15</v>
      </c>
      <c r="E239" s="11" t="str">
        <f aca="false">IF(B239&lt;50,"Low",IF(B239&lt;70,"Mid","High"))</f>
        <v>Low</v>
      </c>
      <c r="F239" s="11" t="str">
        <f aca="false">IF(D239&lt;24,"Short","Long")</f>
        <v>Short</v>
      </c>
      <c r="G239" s="10" t="s">
        <v>28</v>
      </c>
      <c r="H239" s="11" t="n">
        <f aca="false">IF(G239="Yes",1,0)</f>
        <v>0</v>
      </c>
    </row>
    <row r="240" customFormat="false" ht="15" hidden="false" customHeight="false" outlineLevel="0" collapsed="false">
      <c r="A240" s="10" t="n">
        <v>239</v>
      </c>
      <c r="B240" s="10" t="n">
        <v>64</v>
      </c>
      <c r="C240" s="10" t="s">
        <v>29</v>
      </c>
      <c r="D240" s="10" t="n">
        <v>4</v>
      </c>
      <c r="E240" s="11" t="str">
        <f aca="false">IF(B240&lt;50,"Low",IF(B240&lt;70,"Mid","High"))</f>
        <v>Mid</v>
      </c>
      <c r="F240" s="11" t="str">
        <f aca="false">IF(D240&lt;24,"Short","Long")</f>
        <v>Short</v>
      </c>
      <c r="G240" s="10" t="s">
        <v>30</v>
      </c>
      <c r="H240" s="11" t="n">
        <f aca="false">IF(G240="Yes",1,0)</f>
        <v>1</v>
      </c>
    </row>
    <row r="241" customFormat="false" ht="15" hidden="false" customHeight="false" outlineLevel="0" collapsed="false">
      <c r="A241" s="10" t="n">
        <v>240</v>
      </c>
      <c r="B241" s="10" t="n">
        <v>71</v>
      </c>
      <c r="C241" s="10" t="s">
        <v>29</v>
      </c>
      <c r="D241" s="10" t="n">
        <v>19</v>
      </c>
      <c r="E241" s="11" t="str">
        <f aca="false">IF(B241&lt;50,"Low",IF(B241&lt;70,"Mid","High"))</f>
        <v>High</v>
      </c>
      <c r="F241" s="11" t="str">
        <f aca="false">IF(D241&lt;24,"Short","Long")</f>
        <v>Short</v>
      </c>
      <c r="G241" s="10" t="s">
        <v>28</v>
      </c>
      <c r="H241" s="11" t="n">
        <f aca="false">IF(G241="Yes",1,0)</f>
        <v>0</v>
      </c>
    </row>
    <row r="242" customFormat="false" ht="15" hidden="false" customHeight="false" outlineLevel="0" collapsed="false">
      <c r="A242" s="10" t="n">
        <v>241</v>
      </c>
      <c r="B242" s="10" t="n">
        <v>53</v>
      </c>
      <c r="C242" s="10" t="s">
        <v>29</v>
      </c>
      <c r="D242" s="10" t="n">
        <v>7</v>
      </c>
      <c r="E242" s="11" t="str">
        <f aca="false">IF(B242&lt;50,"Low",IF(B242&lt;70,"Mid","High"))</f>
        <v>Mid</v>
      </c>
      <c r="F242" s="11" t="str">
        <f aca="false">IF(D242&lt;24,"Short","Long")</f>
        <v>Short</v>
      </c>
      <c r="G242" s="10" t="s">
        <v>28</v>
      </c>
      <c r="H242" s="11" t="n">
        <f aca="false">IF(G242="Yes",1,0)</f>
        <v>0</v>
      </c>
    </row>
    <row r="243" customFormat="false" ht="15" hidden="false" customHeight="false" outlineLevel="0" collapsed="false">
      <c r="A243" s="10" t="n">
        <v>242</v>
      </c>
      <c r="B243" s="10" t="n">
        <v>26</v>
      </c>
      <c r="C243" s="10" t="s">
        <v>29</v>
      </c>
      <c r="D243" s="10" t="n">
        <v>18</v>
      </c>
      <c r="E243" s="11" t="str">
        <f aca="false">IF(B243&lt;50,"Low",IF(B243&lt;70,"Mid","High"))</f>
        <v>Low</v>
      </c>
      <c r="F243" s="11" t="str">
        <f aca="false">IF(D243&lt;24,"Short","Long")</f>
        <v>Short</v>
      </c>
      <c r="G243" s="10" t="s">
        <v>28</v>
      </c>
      <c r="H243" s="11" t="n">
        <f aca="false">IF(G243="Yes",1,0)</f>
        <v>0</v>
      </c>
    </row>
    <row r="244" customFormat="false" ht="15" hidden="false" customHeight="false" outlineLevel="0" collapsed="false">
      <c r="A244" s="10" t="n">
        <v>243</v>
      </c>
      <c r="B244" s="10" t="n">
        <v>76</v>
      </c>
      <c r="C244" s="10" t="s">
        <v>27</v>
      </c>
      <c r="D244" s="10" t="n">
        <v>48</v>
      </c>
      <c r="E244" s="11" t="str">
        <f aca="false">IF(B244&lt;50,"Low",IF(B244&lt;70,"Mid","High"))</f>
        <v>High</v>
      </c>
      <c r="F244" s="11" t="str">
        <f aca="false">IF(D244&lt;24,"Short","Long")</f>
        <v>Long</v>
      </c>
      <c r="G244" s="10" t="s">
        <v>30</v>
      </c>
      <c r="H244" s="11" t="n">
        <f aca="false">IF(G244="Yes",1,0)</f>
        <v>1</v>
      </c>
    </row>
    <row r="245" customFormat="false" ht="15" hidden="false" customHeight="false" outlineLevel="0" collapsed="false">
      <c r="A245" s="10" t="n">
        <v>244</v>
      </c>
      <c r="B245" s="10" t="n">
        <v>25</v>
      </c>
      <c r="C245" s="10" t="s">
        <v>29</v>
      </c>
      <c r="D245" s="10" t="n">
        <v>6</v>
      </c>
      <c r="E245" s="11" t="str">
        <f aca="false">IF(B245&lt;50,"Low",IF(B245&lt;70,"Mid","High"))</f>
        <v>Low</v>
      </c>
      <c r="F245" s="11" t="str">
        <f aca="false">IF(D245&lt;24,"Short","Long")</f>
        <v>Short</v>
      </c>
      <c r="G245" s="10" t="s">
        <v>28</v>
      </c>
      <c r="H245" s="11" t="n">
        <f aca="false">IF(G245="Yes",1,0)</f>
        <v>0</v>
      </c>
    </row>
    <row r="246" customFormat="false" ht="15" hidden="false" customHeight="false" outlineLevel="0" collapsed="false">
      <c r="A246" s="10" t="n">
        <v>245</v>
      </c>
      <c r="B246" s="10" t="n">
        <v>63</v>
      </c>
      <c r="C246" s="10" t="s">
        <v>29</v>
      </c>
      <c r="D246" s="10" t="n">
        <v>13</v>
      </c>
      <c r="E246" s="11" t="str">
        <f aca="false">IF(B246&lt;50,"Low",IF(B246&lt;70,"Mid","High"))</f>
        <v>Mid</v>
      </c>
      <c r="F246" s="11" t="str">
        <f aca="false">IF(D246&lt;24,"Short","Long")</f>
        <v>Short</v>
      </c>
      <c r="G246" s="10" t="s">
        <v>30</v>
      </c>
      <c r="H246" s="11" t="n">
        <f aca="false">IF(G246="Yes",1,0)</f>
        <v>1</v>
      </c>
    </row>
    <row r="247" customFormat="false" ht="15" hidden="false" customHeight="false" outlineLevel="0" collapsed="false">
      <c r="A247" s="10" t="n">
        <v>246</v>
      </c>
      <c r="B247" s="10" t="n">
        <v>33</v>
      </c>
      <c r="C247" s="10" t="s">
        <v>27</v>
      </c>
      <c r="D247" s="10" t="n">
        <v>25</v>
      </c>
      <c r="E247" s="11" t="str">
        <f aca="false">IF(B247&lt;50,"Low",IF(B247&lt;70,"Mid","High"))</f>
        <v>Low</v>
      </c>
      <c r="F247" s="11" t="str">
        <f aca="false">IF(D247&lt;24,"Short","Long")</f>
        <v>Long</v>
      </c>
      <c r="G247" s="10" t="s">
        <v>28</v>
      </c>
      <c r="H247" s="11" t="n">
        <f aca="false">IF(G247="Yes",1,0)</f>
        <v>0</v>
      </c>
    </row>
    <row r="248" customFormat="false" ht="15" hidden="false" customHeight="false" outlineLevel="0" collapsed="false">
      <c r="A248" s="10" t="n">
        <v>247</v>
      </c>
      <c r="B248" s="10" t="n">
        <v>75</v>
      </c>
      <c r="C248" s="10" t="s">
        <v>29</v>
      </c>
      <c r="D248" s="10" t="n">
        <v>18</v>
      </c>
      <c r="E248" s="11" t="str">
        <f aca="false">IF(B248&lt;50,"Low",IF(B248&lt;70,"Mid","High"))</f>
        <v>High</v>
      </c>
      <c r="F248" s="11" t="str">
        <f aca="false">IF(D248&lt;24,"Short","Long")</f>
        <v>Short</v>
      </c>
      <c r="G248" s="10" t="s">
        <v>30</v>
      </c>
      <c r="H248" s="11" t="n">
        <f aca="false">IF(G248="Yes",1,0)</f>
        <v>1</v>
      </c>
    </row>
    <row r="249" customFormat="false" ht="15" hidden="false" customHeight="false" outlineLevel="0" collapsed="false">
      <c r="A249" s="10" t="n">
        <v>248</v>
      </c>
      <c r="B249" s="10" t="n">
        <v>64</v>
      </c>
      <c r="C249" s="10" t="s">
        <v>27</v>
      </c>
      <c r="D249" s="10" t="n">
        <v>24</v>
      </c>
      <c r="E249" s="11" t="str">
        <f aca="false">IF(B249&lt;50,"Low",IF(B249&lt;70,"Mid","High"))</f>
        <v>Mid</v>
      </c>
      <c r="F249" s="11" t="str">
        <f aca="false">IF(D249&lt;24,"Short","Long")</f>
        <v>Long</v>
      </c>
      <c r="G249" s="10" t="s">
        <v>28</v>
      </c>
      <c r="H249" s="11" t="n">
        <f aca="false">IF(G249="Yes",1,0)</f>
        <v>0</v>
      </c>
    </row>
    <row r="250" customFormat="false" ht="15" hidden="false" customHeight="false" outlineLevel="0" collapsed="false">
      <c r="A250" s="10" t="n">
        <v>249</v>
      </c>
      <c r="B250" s="10" t="n">
        <v>64</v>
      </c>
      <c r="C250" s="10" t="s">
        <v>27</v>
      </c>
      <c r="D250" s="10" t="n">
        <v>27</v>
      </c>
      <c r="E250" s="11" t="str">
        <f aca="false">IF(B250&lt;50,"Low",IF(B250&lt;70,"Mid","High"))</f>
        <v>Mid</v>
      </c>
      <c r="F250" s="11" t="str">
        <f aca="false">IF(D250&lt;24,"Short","Long")</f>
        <v>Long</v>
      </c>
      <c r="G250" s="10" t="s">
        <v>28</v>
      </c>
      <c r="H250" s="11" t="n">
        <f aca="false">IF(G250="Yes",1,0)</f>
        <v>0</v>
      </c>
    </row>
    <row r="251" customFormat="false" ht="15" hidden="false" customHeight="false" outlineLevel="0" collapsed="false">
      <c r="A251" s="10" t="n">
        <v>250</v>
      </c>
      <c r="B251" s="10" t="n">
        <v>55</v>
      </c>
      <c r="C251" s="10" t="s">
        <v>29</v>
      </c>
      <c r="D251" s="10" t="n">
        <v>6</v>
      </c>
      <c r="E251" s="11" t="str">
        <f aca="false">IF(B251&lt;50,"Low",IF(B251&lt;70,"Mid","High"))</f>
        <v>Mid</v>
      </c>
      <c r="F251" s="11" t="str">
        <f aca="false">IF(D251&lt;24,"Short","Long")</f>
        <v>Short</v>
      </c>
      <c r="G251" s="10" t="s">
        <v>28</v>
      </c>
      <c r="H251" s="11" t="n">
        <f aca="false">IF(G251="Yes",1,0)</f>
        <v>0</v>
      </c>
    </row>
    <row r="252" customFormat="false" ht="15" hidden="false" customHeight="false" outlineLevel="0" collapsed="false">
      <c r="A252" s="10" t="n">
        <v>251</v>
      </c>
      <c r="B252" s="10" t="n">
        <v>38</v>
      </c>
      <c r="C252" s="10" t="s">
        <v>27</v>
      </c>
      <c r="D252" s="10" t="n">
        <v>43</v>
      </c>
      <c r="E252" s="11" t="str">
        <f aca="false">IF(B252&lt;50,"Low",IF(B252&lt;70,"Mid","High"))</f>
        <v>Low</v>
      </c>
      <c r="F252" s="11" t="str">
        <f aca="false">IF(D252&lt;24,"Short","Long")</f>
        <v>Long</v>
      </c>
      <c r="G252" s="10" t="s">
        <v>28</v>
      </c>
      <c r="H252" s="11" t="n">
        <f aca="false">IF(G252="Yes",1,0)</f>
        <v>0</v>
      </c>
    </row>
    <row r="253" customFormat="false" ht="15" hidden="false" customHeight="false" outlineLevel="0" collapsed="false">
      <c r="A253" s="10" t="n">
        <v>252</v>
      </c>
      <c r="B253" s="10" t="n">
        <v>51</v>
      </c>
      <c r="C253" s="10" t="s">
        <v>29</v>
      </c>
      <c r="D253" s="10" t="n">
        <v>18</v>
      </c>
      <c r="E253" s="11" t="str">
        <f aca="false">IF(B253&lt;50,"Low",IF(B253&lt;70,"Mid","High"))</f>
        <v>Mid</v>
      </c>
      <c r="F253" s="11" t="str">
        <f aca="false">IF(D253&lt;24,"Short","Long")</f>
        <v>Short</v>
      </c>
      <c r="G253" s="10" t="s">
        <v>30</v>
      </c>
      <c r="H253" s="11" t="n">
        <f aca="false">IF(G253="Yes",1,0)</f>
        <v>1</v>
      </c>
    </row>
    <row r="254" customFormat="false" ht="15" hidden="false" customHeight="false" outlineLevel="0" collapsed="false">
      <c r="A254" s="10" t="n">
        <v>253</v>
      </c>
      <c r="B254" s="10" t="n">
        <v>64</v>
      </c>
      <c r="C254" s="10" t="s">
        <v>27</v>
      </c>
      <c r="D254" s="10" t="n">
        <v>32</v>
      </c>
      <c r="E254" s="11" t="str">
        <f aca="false">IF(B254&lt;50,"Low",IF(B254&lt;70,"Mid","High"))</f>
        <v>Mid</v>
      </c>
      <c r="F254" s="11" t="str">
        <f aca="false">IF(D254&lt;24,"Short","Long")</f>
        <v>Long</v>
      </c>
      <c r="G254" s="10" t="s">
        <v>28</v>
      </c>
      <c r="H254" s="11" t="n">
        <f aca="false">IF(G254="Yes",1,0)</f>
        <v>0</v>
      </c>
    </row>
    <row r="255" customFormat="false" ht="15" hidden="false" customHeight="false" outlineLevel="0" collapsed="false">
      <c r="A255" s="10" t="n">
        <v>254</v>
      </c>
      <c r="B255" s="10" t="n">
        <v>17</v>
      </c>
      <c r="C255" s="10" t="s">
        <v>27</v>
      </c>
      <c r="D255" s="10" t="n">
        <v>20</v>
      </c>
      <c r="E255" s="11" t="str">
        <f aca="false">IF(B255&lt;50,"Low",IF(B255&lt;70,"Mid","High"))</f>
        <v>Low</v>
      </c>
      <c r="F255" s="11" t="str">
        <f aca="false">IF(D255&lt;24,"Short","Long")</f>
        <v>Short</v>
      </c>
      <c r="G255" s="10" t="s">
        <v>28</v>
      </c>
      <c r="H255" s="11" t="n">
        <f aca="false">IF(G255="Yes",1,0)</f>
        <v>0</v>
      </c>
    </row>
    <row r="256" customFormat="false" ht="15" hidden="false" customHeight="false" outlineLevel="0" collapsed="false">
      <c r="A256" s="10" t="n">
        <v>255</v>
      </c>
      <c r="B256" s="10" t="n">
        <v>72</v>
      </c>
      <c r="C256" s="10" t="s">
        <v>27</v>
      </c>
      <c r="D256" s="10" t="n">
        <v>42</v>
      </c>
      <c r="E256" s="11" t="str">
        <f aca="false">IF(B256&lt;50,"Low",IF(B256&lt;70,"Mid","High"))</f>
        <v>High</v>
      </c>
      <c r="F256" s="11" t="str">
        <f aca="false">IF(D256&lt;24,"Short","Long")</f>
        <v>Long</v>
      </c>
      <c r="G256" s="10" t="s">
        <v>30</v>
      </c>
      <c r="H256" s="11" t="n">
        <f aca="false">IF(G256="Yes",1,0)</f>
        <v>1</v>
      </c>
    </row>
    <row r="257" customFormat="false" ht="15" hidden="false" customHeight="false" outlineLevel="0" collapsed="false">
      <c r="A257" s="10" t="n">
        <v>256</v>
      </c>
      <c r="B257" s="10" t="n">
        <v>65</v>
      </c>
      <c r="C257" s="10" t="s">
        <v>29</v>
      </c>
      <c r="D257" s="10" t="n">
        <v>12</v>
      </c>
      <c r="E257" s="11" t="str">
        <f aca="false">IF(B257&lt;50,"Low",IF(B257&lt;70,"Mid","High"))</f>
        <v>Mid</v>
      </c>
      <c r="F257" s="11" t="str">
        <f aca="false">IF(D257&lt;24,"Short","Long")</f>
        <v>Short</v>
      </c>
      <c r="G257" s="10" t="s">
        <v>30</v>
      </c>
      <c r="H257" s="11" t="n">
        <f aca="false">IF(G257="Yes",1,0)</f>
        <v>1</v>
      </c>
    </row>
    <row r="258" customFormat="false" ht="15" hidden="false" customHeight="false" outlineLevel="0" collapsed="false">
      <c r="A258" s="10" t="n">
        <v>257</v>
      </c>
      <c r="B258" s="10" t="n">
        <v>40</v>
      </c>
      <c r="C258" s="10" t="s">
        <v>29</v>
      </c>
      <c r="D258" s="10" t="n">
        <v>10</v>
      </c>
      <c r="E258" s="11" t="str">
        <f aca="false">IF(B258&lt;50,"Low",IF(B258&lt;70,"Mid","High"))</f>
        <v>Low</v>
      </c>
      <c r="F258" s="11" t="str">
        <f aca="false">IF(D258&lt;24,"Short","Long")</f>
        <v>Short</v>
      </c>
      <c r="G258" s="10" t="s">
        <v>30</v>
      </c>
      <c r="H258" s="11" t="n">
        <f aca="false">IF(G258="Yes",1,0)</f>
        <v>1</v>
      </c>
    </row>
    <row r="259" customFormat="false" ht="15" hidden="false" customHeight="false" outlineLevel="0" collapsed="false">
      <c r="A259" s="10" t="n">
        <v>258</v>
      </c>
      <c r="B259" s="10" t="n">
        <v>78</v>
      </c>
      <c r="C259" s="10" t="s">
        <v>27</v>
      </c>
      <c r="D259" s="10" t="n">
        <v>34</v>
      </c>
      <c r="E259" s="11" t="str">
        <f aca="false">IF(B259&lt;50,"Low",IF(B259&lt;70,"Mid","High"))</f>
        <v>High</v>
      </c>
      <c r="F259" s="11" t="str">
        <f aca="false">IF(D259&lt;24,"Short","Long")</f>
        <v>Long</v>
      </c>
      <c r="G259" s="10" t="s">
        <v>30</v>
      </c>
      <c r="H259" s="11" t="n">
        <f aca="false">IF(G259="Yes",1,0)</f>
        <v>1</v>
      </c>
    </row>
    <row r="260" customFormat="false" ht="15" hidden="false" customHeight="false" outlineLevel="0" collapsed="false">
      <c r="A260" s="10" t="n">
        <v>259</v>
      </c>
      <c r="B260" s="10" t="n">
        <v>73</v>
      </c>
      <c r="C260" s="10" t="s">
        <v>29</v>
      </c>
      <c r="D260" s="10" t="n">
        <v>14</v>
      </c>
      <c r="E260" s="11" t="str">
        <f aca="false">IF(B260&lt;50,"Low",IF(B260&lt;70,"Mid","High"))</f>
        <v>High</v>
      </c>
      <c r="F260" s="11" t="str">
        <f aca="false">IF(D260&lt;24,"Short","Long")</f>
        <v>Short</v>
      </c>
      <c r="G260" s="10" t="s">
        <v>28</v>
      </c>
      <c r="H260" s="11" t="n">
        <f aca="false">IF(G260="Yes",1,0)</f>
        <v>0</v>
      </c>
    </row>
    <row r="261" customFormat="false" ht="15" hidden="false" customHeight="false" outlineLevel="0" collapsed="false">
      <c r="A261" s="10" t="n">
        <v>260</v>
      </c>
      <c r="B261" s="10" t="n">
        <v>63</v>
      </c>
      <c r="C261" s="10" t="s">
        <v>27</v>
      </c>
      <c r="D261" s="10" t="n">
        <v>35</v>
      </c>
      <c r="E261" s="11" t="str">
        <f aca="false">IF(B261&lt;50,"Low",IF(B261&lt;70,"Mid","High"))</f>
        <v>Mid</v>
      </c>
      <c r="F261" s="11" t="str">
        <f aca="false">IF(D261&lt;24,"Short","Long")</f>
        <v>Long</v>
      </c>
      <c r="G261" s="10" t="s">
        <v>28</v>
      </c>
      <c r="H261" s="11" t="n">
        <f aca="false">IF(G261="Yes",1,0)</f>
        <v>0</v>
      </c>
    </row>
    <row r="262" customFormat="false" ht="15" hidden="false" customHeight="false" outlineLevel="0" collapsed="false">
      <c r="A262" s="10" t="n">
        <v>261</v>
      </c>
      <c r="B262" s="10" t="n">
        <v>75</v>
      </c>
      <c r="C262" s="10" t="s">
        <v>29</v>
      </c>
      <c r="D262" s="10" t="n">
        <v>17</v>
      </c>
      <c r="E262" s="11" t="str">
        <f aca="false">IF(B262&lt;50,"Low",IF(B262&lt;70,"Mid","High"))</f>
        <v>High</v>
      </c>
      <c r="F262" s="11" t="str">
        <f aca="false">IF(D262&lt;24,"Short","Long")</f>
        <v>Short</v>
      </c>
      <c r="G262" s="10" t="s">
        <v>30</v>
      </c>
      <c r="H262" s="11" t="n">
        <f aca="false">IF(G262="Yes",1,0)</f>
        <v>1</v>
      </c>
    </row>
    <row r="263" customFormat="false" ht="15" hidden="false" customHeight="false" outlineLevel="0" collapsed="false">
      <c r="A263" s="10" t="n">
        <v>262</v>
      </c>
      <c r="B263" s="10" t="n">
        <v>32</v>
      </c>
      <c r="C263" s="10" t="s">
        <v>27</v>
      </c>
      <c r="D263" s="10" t="n">
        <v>32</v>
      </c>
      <c r="E263" s="11" t="str">
        <f aca="false">IF(B263&lt;50,"Low",IF(B263&lt;70,"Mid","High"))</f>
        <v>Low</v>
      </c>
      <c r="F263" s="11" t="str">
        <f aca="false">IF(D263&lt;24,"Short","Long")</f>
        <v>Long</v>
      </c>
      <c r="G263" s="10" t="s">
        <v>28</v>
      </c>
      <c r="H263" s="11" t="n">
        <f aca="false">IF(G263="Yes",1,0)</f>
        <v>0</v>
      </c>
    </row>
    <row r="264" customFormat="false" ht="15" hidden="false" customHeight="false" outlineLevel="0" collapsed="false">
      <c r="A264" s="10" t="n">
        <v>263</v>
      </c>
      <c r="B264" s="10" t="n">
        <v>58</v>
      </c>
      <c r="C264" s="10" t="s">
        <v>29</v>
      </c>
      <c r="D264" s="10" t="n">
        <v>5</v>
      </c>
      <c r="E264" s="11" t="str">
        <f aca="false">IF(B264&lt;50,"Low",IF(B264&lt;70,"Mid","High"))</f>
        <v>Mid</v>
      </c>
      <c r="F264" s="11" t="str">
        <f aca="false">IF(D264&lt;24,"Short","Long")</f>
        <v>Short</v>
      </c>
      <c r="G264" s="10" t="s">
        <v>30</v>
      </c>
      <c r="H264" s="11" t="n">
        <f aca="false">IF(G264="Yes",1,0)</f>
        <v>1</v>
      </c>
    </row>
    <row r="265" customFormat="false" ht="15" hidden="false" customHeight="false" outlineLevel="0" collapsed="false">
      <c r="A265" s="10" t="n">
        <v>264</v>
      </c>
      <c r="B265" s="10" t="n">
        <v>60</v>
      </c>
      <c r="C265" s="10" t="s">
        <v>27</v>
      </c>
      <c r="D265" s="10" t="n">
        <v>31</v>
      </c>
      <c r="E265" s="11" t="str">
        <f aca="false">IF(B265&lt;50,"Low",IF(B265&lt;70,"Mid","High"))</f>
        <v>Mid</v>
      </c>
      <c r="F265" s="11" t="str">
        <f aca="false">IF(D265&lt;24,"Short","Long")</f>
        <v>Long</v>
      </c>
      <c r="G265" s="10" t="s">
        <v>28</v>
      </c>
      <c r="H265" s="11" t="n">
        <f aca="false">IF(G265="Yes",1,0)</f>
        <v>0</v>
      </c>
    </row>
    <row r="266" customFormat="false" ht="15" hidden="false" customHeight="false" outlineLevel="0" collapsed="false">
      <c r="A266" s="10" t="n">
        <v>265</v>
      </c>
      <c r="B266" s="10" t="n">
        <v>40</v>
      </c>
      <c r="C266" s="10" t="s">
        <v>29</v>
      </c>
      <c r="D266" s="10" t="n">
        <v>7</v>
      </c>
      <c r="E266" s="11" t="str">
        <f aca="false">IF(B266&lt;50,"Low",IF(B266&lt;70,"Mid","High"))</f>
        <v>Low</v>
      </c>
      <c r="F266" s="11" t="str">
        <f aca="false">IF(D266&lt;24,"Short","Long")</f>
        <v>Short</v>
      </c>
      <c r="G266" s="10" t="s">
        <v>28</v>
      </c>
      <c r="H266" s="11" t="n">
        <f aca="false">IF(G266="Yes",1,0)</f>
        <v>0</v>
      </c>
    </row>
    <row r="267" customFormat="false" ht="15" hidden="false" customHeight="false" outlineLevel="0" collapsed="false">
      <c r="A267" s="10" t="n">
        <v>266</v>
      </c>
      <c r="B267" s="10" t="n">
        <v>45</v>
      </c>
      <c r="C267" s="10" t="s">
        <v>29</v>
      </c>
      <c r="D267" s="10" t="n">
        <v>18</v>
      </c>
      <c r="E267" s="11" t="str">
        <f aca="false">IF(B267&lt;50,"Low",IF(B267&lt;70,"Mid","High"))</f>
        <v>Low</v>
      </c>
      <c r="F267" s="11" t="str">
        <f aca="false">IF(D267&lt;24,"Short","Long")</f>
        <v>Short</v>
      </c>
      <c r="G267" s="10" t="s">
        <v>28</v>
      </c>
      <c r="H267" s="11" t="n">
        <f aca="false">IF(G267="Yes",1,0)</f>
        <v>0</v>
      </c>
    </row>
    <row r="268" customFormat="false" ht="15" hidden="false" customHeight="false" outlineLevel="0" collapsed="false">
      <c r="A268" s="10" t="n">
        <v>267</v>
      </c>
      <c r="B268" s="10" t="n">
        <v>68</v>
      </c>
      <c r="C268" s="10" t="s">
        <v>29</v>
      </c>
      <c r="D268" s="10" t="n">
        <v>8</v>
      </c>
      <c r="E268" s="11" t="str">
        <f aca="false">IF(B268&lt;50,"Low",IF(B268&lt;70,"Mid","High"))</f>
        <v>Mid</v>
      </c>
      <c r="F268" s="11" t="str">
        <f aca="false">IF(D268&lt;24,"Short","Long")</f>
        <v>Short</v>
      </c>
      <c r="G268" s="10" t="s">
        <v>28</v>
      </c>
      <c r="H268" s="11" t="n">
        <f aca="false">IF(G268="Yes",1,0)</f>
        <v>0</v>
      </c>
    </row>
    <row r="269" customFormat="false" ht="15" hidden="false" customHeight="false" outlineLevel="0" collapsed="false">
      <c r="A269" s="10" t="n">
        <v>268</v>
      </c>
      <c r="B269" s="10" t="n">
        <v>73</v>
      </c>
      <c r="C269" s="10" t="s">
        <v>29</v>
      </c>
      <c r="D269" s="10" t="n">
        <v>14</v>
      </c>
      <c r="E269" s="11" t="str">
        <f aca="false">IF(B269&lt;50,"Low",IF(B269&lt;70,"Mid","High"))</f>
        <v>High</v>
      </c>
      <c r="F269" s="11" t="str">
        <f aca="false">IF(D269&lt;24,"Short","Long")</f>
        <v>Short</v>
      </c>
      <c r="G269" s="10" t="s">
        <v>30</v>
      </c>
      <c r="H269" s="11" t="n">
        <f aca="false">IF(G269="Yes",1,0)</f>
        <v>1</v>
      </c>
    </row>
    <row r="270" customFormat="false" ht="15" hidden="false" customHeight="false" outlineLevel="0" collapsed="false">
      <c r="A270" s="10" t="n">
        <v>269</v>
      </c>
      <c r="B270" s="10" t="n">
        <v>53</v>
      </c>
      <c r="C270" s="10" t="s">
        <v>29</v>
      </c>
      <c r="D270" s="10" t="n">
        <v>11</v>
      </c>
      <c r="E270" s="11" t="str">
        <f aca="false">IF(B270&lt;50,"Low",IF(B270&lt;70,"Mid","High"))</f>
        <v>Mid</v>
      </c>
      <c r="F270" s="11" t="str">
        <f aca="false">IF(D270&lt;24,"Short","Long")</f>
        <v>Short</v>
      </c>
      <c r="G270" s="10" t="s">
        <v>28</v>
      </c>
      <c r="H270" s="11" t="n">
        <f aca="false">IF(G270="Yes",1,0)</f>
        <v>0</v>
      </c>
    </row>
    <row r="271" customFormat="false" ht="15" hidden="false" customHeight="false" outlineLevel="0" collapsed="false">
      <c r="A271" s="10" t="n">
        <v>270</v>
      </c>
      <c r="B271" s="10" t="n">
        <v>51</v>
      </c>
      <c r="C271" s="10" t="s">
        <v>27</v>
      </c>
      <c r="D271" s="10" t="n">
        <v>21</v>
      </c>
      <c r="E271" s="11" t="str">
        <f aca="false">IF(B271&lt;50,"Low",IF(B271&lt;70,"Mid","High"))</f>
        <v>Mid</v>
      </c>
      <c r="F271" s="11" t="str">
        <f aca="false">IF(D271&lt;24,"Short","Long")</f>
        <v>Short</v>
      </c>
      <c r="G271" s="10" t="s">
        <v>28</v>
      </c>
      <c r="H271" s="11" t="n">
        <f aca="false">IF(G271="Yes",1,0)</f>
        <v>0</v>
      </c>
    </row>
    <row r="272" customFormat="false" ht="15" hidden="false" customHeight="false" outlineLevel="0" collapsed="false">
      <c r="A272" s="10" t="n">
        <v>271</v>
      </c>
      <c r="B272" s="10" t="n">
        <v>88</v>
      </c>
      <c r="C272" s="10" t="s">
        <v>27</v>
      </c>
      <c r="D272" s="10" t="n">
        <v>41</v>
      </c>
      <c r="E272" s="11" t="str">
        <f aca="false">IF(B272&lt;50,"Low",IF(B272&lt;70,"Mid","High"))</f>
        <v>High</v>
      </c>
      <c r="F272" s="11" t="str">
        <f aca="false">IF(D272&lt;24,"Short","Long")</f>
        <v>Long</v>
      </c>
      <c r="G272" s="10" t="s">
        <v>28</v>
      </c>
      <c r="H272" s="11" t="n">
        <f aca="false">IF(G272="Yes",1,0)</f>
        <v>0</v>
      </c>
    </row>
    <row r="273" customFormat="false" ht="15" hidden="false" customHeight="false" outlineLevel="0" collapsed="false">
      <c r="A273" s="10" t="n">
        <v>272</v>
      </c>
      <c r="B273" s="10" t="n">
        <v>70</v>
      </c>
      <c r="C273" s="10" t="s">
        <v>29</v>
      </c>
      <c r="D273" s="10" t="n">
        <v>5</v>
      </c>
      <c r="E273" s="11" t="str">
        <f aca="false">IF(B273&lt;50,"Low",IF(B273&lt;70,"Mid","High"))</f>
        <v>High</v>
      </c>
      <c r="F273" s="11" t="str">
        <f aca="false">IF(D273&lt;24,"Short","Long")</f>
        <v>Short</v>
      </c>
      <c r="G273" s="10" t="s">
        <v>30</v>
      </c>
      <c r="H273" s="11" t="n">
        <f aca="false">IF(G273="Yes",1,0)</f>
        <v>1</v>
      </c>
    </row>
    <row r="274" customFormat="false" ht="15" hidden="false" customHeight="false" outlineLevel="0" collapsed="false">
      <c r="A274" s="10" t="n">
        <v>273</v>
      </c>
      <c r="B274" s="10" t="n">
        <v>61</v>
      </c>
      <c r="C274" s="10" t="s">
        <v>29</v>
      </c>
      <c r="D274" s="10" t="n">
        <v>13</v>
      </c>
      <c r="E274" s="11" t="str">
        <f aca="false">IF(B274&lt;50,"Low",IF(B274&lt;70,"Mid","High"))</f>
        <v>Mid</v>
      </c>
      <c r="F274" s="11" t="str">
        <f aca="false">IF(D274&lt;24,"Short","Long")</f>
        <v>Short</v>
      </c>
      <c r="G274" s="10" t="s">
        <v>30</v>
      </c>
      <c r="H274" s="11" t="n">
        <f aca="false">IF(G274="Yes",1,0)</f>
        <v>1</v>
      </c>
    </row>
    <row r="275" customFormat="false" ht="15" hidden="false" customHeight="false" outlineLevel="0" collapsed="false">
      <c r="A275" s="10" t="n">
        <v>274</v>
      </c>
      <c r="B275" s="10" t="n">
        <v>45</v>
      </c>
      <c r="C275" s="10" t="s">
        <v>27</v>
      </c>
      <c r="D275" s="10" t="n">
        <v>33</v>
      </c>
      <c r="E275" s="11" t="str">
        <f aca="false">IF(B275&lt;50,"Low",IF(B275&lt;70,"Mid","High"))</f>
        <v>Low</v>
      </c>
      <c r="F275" s="11" t="str">
        <f aca="false">IF(D275&lt;24,"Short","Long")</f>
        <v>Long</v>
      </c>
      <c r="G275" s="10" t="s">
        <v>28</v>
      </c>
      <c r="H275" s="11" t="n">
        <f aca="false">IF(G275="Yes",1,0)</f>
        <v>0</v>
      </c>
    </row>
    <row r="276" customFormat="false" ht="15" hidden="false" customHeight="false" outlineLevel="0" collapsed="false">
      <c r="A276" s="10" t="n">
        <v>275</v>
      </c>
      <c r="B276" s="10" t="n">
        <v>44</v>
      </c>
      <c r="C276" s="10" t="s">
        <v>27</v>
      </c>
      <c r="D276" s="10" t="n">
        <v>39</v>
      </c>
      <c r="E276" s="11" t="str">
        <f aca="false">IF(B276&lt;50,"Low",IF(B276&lt;70,"Mid","High"))</f>
        <v>Low</v>
      </c>
      <c r="F276" s="11" t="str">
        <f aca="false">IF(D276&lt;24,"Short","Long")</f>
        <v>Long</v>
      </c>
      <c r="G276" s="10" t="s">
        <v>28</v>
      </c>
      <c r="H276" s="11" t="n">
        <f aca="false">IF(G276="Yes",1,0)</f>
        <v>0</v>
      </c>
    </row>
    <row r="277" customFormat="false" ht="15" hidden="false" customHeight="false" outlineLevel="0" collapsed="false">
      <c r="A277" s="10" t="n">
        <v>276</v>
      </c>
      <c r="B277" s="10" t="n">
        <v>63</v>
      </c>
      <c r="C277" s="10" t="s">
        <v>29</v>
      </c>
      <c r="D277" s="10" t="n">
        <v>3</v>
      </c>
      <c r="E277" s="11" t="str">
        <f aca="false">IF(B277&lt;50,"Low",IF(B277&lt;70,"Mid","High"))</f>
        <v>Mid</v>
      </c>
      <c r="F277" s="11" t="str">
        <f aca="false">IF(D277&lt;24,"Short","Long")</f>
        <v>Short</v>
      </c>
      <c r="G277" s="10" t="s">
        <v>28</v>
      </c>
      <c r="H277" s="11" t="n">
        <f aca="false">IF(G277="Yes",1,0)</f>
        <v>0</v>
      </c>
    </row>
    <row r="278" customFormat="false" ht="15" hidden="false" customHeight="false" outlineLevel="0" collapsed="false">
      <c r="A278" s="10" t="n">
        <v>277</v>
      </c>
      <c r="B278" s="10" t="n">
        <v>38</v>
      </c>
      <c r="C278" s="10" t="s">
        <v>29</v>
      </c>
      <c r="D278" s="10" t="n">
        <v>12</v>
      </c>
      <c r="E278" s="11" t="str">
        <f aca="false">IF(B278&lt;50,"Low",IF(B278&lt;70,"Mid","High"))</f>
        <v>Low</v>
      </c>
      <c r="F278" s="11" t="str">
        <f aca="false">IF(D278&lt;24,"Short","Long")</f>
        <v>Short</v>
      </c>
      <c r="G278" s="10" t="s">
        <v>28</v>
      </c>
      <c r="H278" s="11" t="n">
        <f aca="false">IF(G278="Yes",1,0)</f>
        <v>0</v>
      </c>
    </row>
    <row r="279" customFormat="false" ht="15" hidden="false" customHeight="false" outlineLevel="0" collapsed="false">
      <c r="A279" s="10" t="n">
        <v>278</v>
      </c>
      <c r="B279" s="10" t="n">
        <v>72</v>
      </c>
      <c r="C279" s="10" t="s">
        <v>27</v>
      </c>
      <c r="D279" s="10" t="n">
        <v>34</v>
      </c>
      <c r="E279" s="11" t="str">
        <f aca="false">IF(B279&lt;50,"Low",IF(B279&lt;70,"Mid","High"))</f>
        <v>High</v>
      </c>
      <c r="F279" s="11" t="str">
        <f aca="false">IF(D279&lt;24,"Short","Long")</f>
        <v>Long</v>
      </c>
      <c r="G279" s="10" t="s">
        <v>28</v>
      </c>
      <c r="H279" s="11" t="n">
        <f aca="false">IF(G279="Yes",1,0)</f>
        <v>0</v>
      </c>
    </row>
    <row r="280" customFormat="false" ht="15" hidden="false" customHeight="false" outlineLevel="0" collapsed="false">
      <c r="A280" s="10" t="n">
        <v>279</v>
      </c>
      <c r="B280" s="10" t="n">
        <v>67</v>
      </c>
      <c r="C280" s="10" t="s">
        <v>29</v>
      </c>
      <c r="D280" s="10" t="n">
        <v>22</v>
      </c>
      <c r="E280" s="11" t="str">
        <f aca="false">IF(B280&lt;50,"Low",IF(B280&lt;70,"Mid","High"))</f>
        <v>Mid</v>
      </c>
      <c r="F280" s="11" t="str">
        <f aca="false">IF(D280&lt;24,"Short","Long")</f>
        <v>Short</v>
      </c>
      <c r="G280" s="10" t="s">
        <v>30</v>
      </c>
      <c r="H280" s="11" t="n">
        <f aca="false">IF(G280="Yes",1,0)</f>
        <v>1</v>
      </c>
    </row>
    <row r="281" customFormat="false" ht="15" hidden="false" customHeight="false" outlineLevel="0" collapsed="false">
      <c r="A281" s="10" t="n">
        <v>280</v>
      </c>
      <c r="B281" s="10" t="n">
        <v>54</v>
      </c>
      <c r="C281" s="10" t="s">
        <v>29</v>
      </c>
      <c r="D281" s="10" t="n">
        <v>18</v>
      </c>
      <c r="E281" s="11" t="str">
        <f aca="false">IF(B281&lt;50,"Low",IF(B281&lt;70,"Mid","High"))</f>
        <v>Mid</v>
      </c>
      <c r="F281" s="11" t="str">
        <f aca="false">IF(D281&lt;24,"Short","Long")</f>
        <v>Short</v>
      </c>
      <c r="G281" s="10" t="s">
        <v>28</v>
      </c>
      <c r="H281" s="11" t="n">
        <f aca="false">IF(G281="Yes",1,0)</f>
        <v>0</v>
      </c>
    </row>
    <row r="282" customFormat="false" ht="15" hidden="false" customHeight="false" outlineLevel="0" collapsed="false">
      <c r="A282" s="10" t="n">
        <v>281</v>
      </c>
      <c r="B282" s="10" t="n">
        <v>35</v>
      </c>
      <c r="C282" s="10" t="s">
        <v>29</v>
      </c>
      <c r="D282" s="10" t="n">
        <v>20</v>
      </c>
      <c r="E282" s="11" t="str">
        <f aca="false">IF(B282&lt;50,"Low",IF(B282&lt;70,"Mid","High"))</f>
        <v>Low</v>
      </c>
      <c r="F282" s="11" t="str">
        <f aca="false">IF(D282&lt;24,"Short","Long")</f>
        <v>Short</v>
      </c>
      <c r="G282" s="10" t="s">
        <v>28</v>
      </c>
      <c r="H282" s="11" t="n">
        <f aca="false">IF(G282="Yes",1,0)</f>
        <v>0</v>
      </c>
    </row>
    <row r="283" customFormat="false" ht="15" hidden="false" customHeight="false" outlineLevel="0" collapsed="false">
      <c r="A283" s="10" t="n">
        <v>282</v>
      </c>
      <c r="B283" s="10" t="n">
        <v>55</v>
      </c>
      <c r="C283" s="10" t="s">
        <v>27</v>
      </c>
      <c r="D283" s="10" t="n">
        <v>28</v>
      </c>
      <c r="E283" s="11" t="str">
        <f aca="false">IF(B283&lt;50,"Low",IF(B283&lt;70,"Mid","High"))</f>
        <v>Mid</v>
      </c>
      <c r="F283" s="11" t="str">
        <f aca="false">IF(D283&lt;24,"Short","Long")</f>
        <v>Long</v>
      </c>
      <c r="G283" s="10" t="s">
        <v>30</v>
      </c>
      <c r="H283" s="11" t="n">
        <f aca="false">IF(G283="Yes",1,0)</f>
        <v>1</v>
      </c>
    </row>
    <row r="284" customFormat="false" ht="15" hidden="false" customHeight="false" outlineLevel="0" collapsed="false">
      <c r="A284" s="10" t="n">
        <v>283</v>
      </c>
      <c r="B284" s="10" t="n">
        <v>78</v>
      </c>
      <c r="C284" s="10" t="s">
        <v>29</v>
      </c>
      <c r="D284" s="10" t="n">
        <v>21</v>
      </c>
      <c r="E284" s="11" t="str">
        <f aca="false">IF(B284&lt;50,"Low",IF(B284&lt;70,"Mid","High"))</f>
        <v>High</v>
      </c>
      <c r="F284" s="11" t="str">
        <f aca="false">IF(D284&lt;24,"Short","Long")</f>
        <v>Short</v>
      </c>
      <c r="G284" s="10" t="s">
        <v>30</v>
      </c>
      <c r="H284" s="11" t="n">
        <f aca="false">IF(G284="Yes",1,0)</f>
        <v>1</v>
      </c>
    </row>
    <row r="285" customFormat="false" ht="15" hidden="false" customHeight="false" outlineLevel="0" collapsed="false">
      <c r="A285" s="10" t="n">
        <v>284</v>
      </c>
      <c r="B285" s="10" t="n">
        <v>55</v>
      </c>
      <c r="C285" s="10" t="s">
        <v>27</v>
      </c>
      <c r="D285" s="10" t="n">
        <v>43</v>
      </c>
      <c r="E285" s="11" t="str">
        <f aca="false">IF(B285&lt;50,"Low",IF(B285&lt;70,"Mid","High"))</f>
        <v>Mid</v>
      </c>
      <c r="F285" s="11" t="str">
        <f aca="false">IF(D285&lt;24,"Short","Long")</f>
        <v>Long</v>
      </c>
      <c r="G285" s="10" t="s">
        <v>28</v>
      </c>
      <c r="H285" s="11" t="n">
        <f aca="false">IF(G285="Yes",1,0)</f>
        <v>0</v>
      </c>
    </row>
    <row r="286" customFormat="false" ht="15" hidden="false" customHeight="false" outlineLevel="0" collapsed="false">
      <c r="A286" s="10" t="n">
        <v>285</v>
      </c>
      <c r="B286" s="10" t="n">
        <v>59</v>
      </c>
      <c r="C286" s="10" t="s">
        <v>29</v>
      </c>
      <c r="D286" s="10" t="n">
        <v>12</v>
      </c>
      <c r="E286" s="11" t="str">
        <f aca="false">IF(B286&lt;50,"Low",IF(B286&lt;70,"Mid","High"))</f>
        <v>Mid</v>
      </c>
      <c r="F286" s="11" t="str">
        <f aca="false">IF(D286&lt;24,"Short","Long")</f>
        <v>Short</v>
      </c>
      <c r="G286" s="10" t="s">
        <v>28</v>
      </c>
      <c r="H286" s="11" t="n">
        <f aca="false">IF(G286="Yes",1,0)</f>
        <v>0</v>
      </c>
    </row>
    <row r="287" customFormat="false" ht="15" hidden="false" customHeight="false" outlineLevel="0" collapsed="false">
      <c r="A287" s="10" t="n">
        <v>286</v>
      </c>
      <c r="B287" s="10" t="n">
        <v>29</v>
      </c>
      <c r="C287" s="10" t="s">
        <v>27</v>
      </c>
      <c r="D287" s="10" t="n">
        <v>25</v>
      </c>
      <c r="E287" s="11" t="str">
        <f aca="false">IF(B287&lt;50,"Low",IF(B287&lt;70,"Mid","High"))</f>
        <v>Low</v>
      </c>
      <c r="F287" s="11" t="str">
        <f aca="false">IF(D287&lt;24,"Short","Long")</f>
        <v>Long</v>
      </c>
      <c r="G287" s="10" t="s">
        <v>28</v>
      </c>
      <c r="H287" s="11" t="n">
        <f aca="false">IF(G287="Yes",1,0)</f>
        <v>0</v>
      </c>
    </row>
    <row r="288" customFormat="false" ht="15" hidden="false" customHeight="false" outlineLevel="0" collapsed="false">
      <c r="A288" s="10" t="n">
        <v>287</v>
      </c>
      <c r="B288" s="10" t="n">
        <v>79</v>
      </c>
      <c r="C288" s="10" t="s">
        <v>29</v>
      </c>
      <c r="D288" s="10" t="n">
        <v>14</v>
      </c>
      <c r="E288" s="11" t="str">
        <f aca="false">IF(B288&lt;50,"Low",IF(B288&lt;70,"Mid","High"))</f>
        <v>High</v>
      </c>
      <c r="F288" s="11" t="str">
        <f aca="false">IF(D288&lt;24,"Short","Long")</f>
        <v>Short</v>
      </c>
      <c r="G288" s="10" t="s">
        <v>30</v>
      </c>
      <c r="H288" s="11" t="n">
        <f aca="false">IF(G288="Yes",1,0)</f>
        <v>1</v>
      </c>
    </row>
    <row r="289" customFormat="false" ht="15" hidden="false" customHeight="false" outlineLevel="0" collapsed="false">
      <c r="A289" s="10" t="n">
        <v>288</v>
      </c>
      <c r="B289" s="10" t="n">
        <v>43</v>
      </c>
      <c r="C289" s="10" t="s">
        <v>29</v>
      </c>
      <c r="D289" s="10" t="n">
        <v>22</v>
      </c>
      <c r="E289" s="11" t="str">
        <f aca="false">IF(B289&lt;50,"Low",IF(B289&lt;70,"Mid","High"))</f>
        <v>Low</v>
      </c>
      <c r="F289" s="11" t="str">
        <f aca="false">IF(D289&lt;24,"Short","Long")</f>
        <v>Short</v>
      </c>
      <c r="G289" s="10" t="s">
        <v>30</v>
      </c>
      <c r="H289" s="11" t="n">
        <f aca="false">IF(G289="Yes",1,0)</f>
        <v>1</v>
      </c>
    </row>
    <row r="290" customFormat="false" ht="15" hidden="false" customHeight="false" outlineLevel="0" collapsed="false">
      <c r="A290" s="10" t="n">
        <v>289</v>
      </c>
      <c r="B290" s="10" t="n">
        <v>79</v>
      </c>
      <c r="C290" s="10" t="s">
        <v>29</v>
      </c>
      <c r="D290" s="10" t="n">
        <v>15</v>
      </c>
      <c r="E290" s="11" t="str">
        <f aca="false">IF(B290&lt;50,"Low",IF(B290&lt;70,"Mid","High"))</f>
        <v>High</v>
      </c>
      <c r="F290" s="11" t="str">
        <f aca="false">IF(D290&lt;24,"Short","Long")</f>
        <v>Short</v>
      </c>
      <c r="G290" s="10" t="s">
        <v>30</v>
      </c>
      <c r="H290" s="11" t="n">
        <f aca="false">IF(G290="Yes",1,0)</f>
        <v>1</v>
      </c>
    </row>
    <row r="291" customFormat="false" ht="15" hidden="false" customHeight="false" outlineLevel="0" collapsed="false">
      <c r="A291" s="10" t="n">
        <v>290</v>
      </c>
      <c r="B291" s="10" t="n">
        <v>82</v>
      </c>
      <c r="C291" s="10" t="s">
        <v>27</v>
      </c>
      <c r="D291" s="10" t="n">
        <v>20</v>
      </c>
      <c r="E291" s="11" t="str">
        <f aca="false">IF(B291&lt;50,"Low",IF(B291&lt;70,"Mid","High"))</f>
        <v>High</v>
      </c>
      <c r="F291" s="11" t="str">
        <f aca="false">IF(D291&lt;24,"Short","Long")</f>
        <v>Short</v>
      </c>
      <c r="G291" s="10" t="s">
        <v>30</v>
      </c>
      <c r="H291" s="11" t="n">
        <f aca="false">IF(G291="Yes",1,0)</f>
        <v>1</v>
      </c>
    </row>
    <row r="292" customFormat="false" ht="15" hidden="false" customHeight="false" outlineLevel="0" collapsed="false">
      <c r="A292" s="10" t="n">
        <v>291</v>
      </c>
      <c r="B292" s="10" t="n">
        <v>79</v>
      </c>
      <c r="C292" s="10" t="s">
        <v>27</v>
      </c>
      <c r="D292" s="10" t="n">
        <v>44</v>
      </c>
      <c r="E292" s="11" t="str">
        <f aca="false">IF(B292&lt;50,"Low",IF(B292&lt;70,"Mid","High"))</f>
        <v>High</v>
      </c>
      <c r="F292" s="11" t="str">
        <f aca="false">IF(D292&lt;24,"Short","Long")</f>
        <v>Long</v>
      </c>
      <c r="G292" s="10" t="s">
        <v>30</v>
      </c>
      <c r="H292" s="11" t="n">
        <f aca="false">IF(G292="Yes",1,0)</f>
        <v>1</v>
      </c>
    </row>
    <row r="293" customFormat="false" ht="15" hidden="false" customHeight="false" outlineLevel="0" collapsed="false">
      <c r="A293" s="10" t="n">
        <v>292</v>
      </c>
      <c r="B293" s="10" t="n">
        <v>62</v>
      </c>
      <c r="C293" s="10" t="s">
        <v>27</v>
      </c>
      <c r="D293" s="10" t="n">
        <v>20</v>
      </c>
      <c r="E293" s="11" t="str">
        <f aca="false">IF(B293&lt;50,"Low",IF(B293&lt;70,"Mid","High"))</f>
        <v>Mid</v>
      </c>
      <c r="F293" s="11" t="str">
        <f aca="false">IF(D293&lt;24,"Short","Long")</f>
        <v>Short</v>
      </c>
      <c r="G293" s="10" t="s">
        <v>30</v>
      </c>
      <c r="H293" s="11" t="n">
        <f aca="false">IF(G293="Yes",1,0)</f>
        <v>1</v>
      </c>
    </row>
    <row r="294" customFormat="false" ht="15" hidden="false" customHeight="false" outlineLevel="0" collapsed="false">
      <c r="A294" s="10" t="n">
        <v>293</v>
      </c>
      <c r="B294" s="10" t="n">
        <v>78</v>
      </c>
      <c r="C294" s="10" t="s">
        <v>27</v>
      </c>
      <c r="D294" s="10" t="n">
        <v>37</v>
      </c>
      <c r="E294" s="11" t="str">
        <f aca="false">IF(B294&lt;50,"Low",IF(B294&lt;70,"Mid","High"))</f>
        <v>High</v>
      </c>
      <c r="F294" s="11" t="str">
        <f aca="false">IF(D294&lt;24,"Short","Long")</f>
        <v>Long</v>
      </c>
      <c r="G294" s="10" t="s">
        <v>28</v>
      </c>
      <c r="H294" s="11" t="n">
        <f aca="false">IF(G294="Yes",1,0)</f>
        <v>0</v>
      </c>
    </row>
    <row r="295" customFormat="false" ht="15" hidden="false" customHeight="false" outlineLevel="0" collapsed="false">
      <c r="A295" s="10" t="n">
        <v>294</v>
      </c>
      <c r="B295" s="10" t="n">
        <v>68</v>
      </c>
      <c r="C295" s="10" t="s">
        <v>27</v>
      </c>
      <c r="D295" s="10" t="n">
        <v>34</v>
      </c>
      <c r="E295" s="11" t="str">
        <f aca="false">IF(B295&lt;50,"Low",IF(B295&lt;70,"Mid","High"))</f>
        <v>Mid</v>
      </c>
      <c r="F295" s="11" t="str">
        <f aca="false">IF(D295&lt;24,"Short","Long")</f>
        <v>Long</v>
      </c>
      <c r="G295" s="10" t="s">
        <v>28</v>
      </c>
      <c r="H295" s="11" t="n">
        <f aca="false">IF(G295="Yes",1,0)</f>
        <v>0</v>
      </c>
    </row>
    <row r="296" customFormat="false" ht="15" hidden="false" customHeight="false" outlineLevel="0" collapsed="false">
      <c r="A296" s="10" t="n">
        <v>295</v>
      </c>
      <c r="B296" s="10" t="n">
        <v>61</v>
      </c>
      <c r="C296" s="10" t="s">
        <v>29</v>
      </c>
      <c r="D296" s="10" t="n">
        <v>15</v>
      </c>
      <c r="E296" s="11" t="str">
        <f aca="false">IF(B296&lt;50,"Low",IF(B296&lt;70,"Mid","High"))</f>
        <v>Mid</v>
      </c>
      <c r="F296" s="11" t="str">
        <f aca="false">IF(D296&lt;24,"Short","Long")</f>
        <v>Short</v>
      </c>
      <c r="G296" s="10" t="s">
        <v>28</v>
      </c>
      <c r="H296" s="11" t="n">
        <f aca="false">IF(G296="Yes",1,0)</f>
        <v>0</v>
      </c>
    </row>
    <row r="297" customFormat="false" ht="15" hidden="false" customHeight="false" outlineLevel="0" collapsed="false">
      <c r="A297" s="10" t="n">
        <v>296</v>
      </c>
      <c r="B297" s="10" t="n">
        <v>49</v>
      </c>
      <c r="C297" s="10" t="s">
        <v>29</v>
      </c>
      <c r="D297" s="10" t="n">
        <v>13</v>
      </c>
      <c r="E297" s="11" t="str">
        <f aca="false">IF(B297&lt;50,"Low",IF(B297&lt;70,"Mid","High"))</f>
        <v>Low</v>
      </c>
      <c r="F297" s="11" t="str">
        <f aca="false">IF(D297&lt;24,"Short","Long")</f>
        <v>Short</v>
      </c>
      <c r="G297" s="10" t="s">
        <v>28</v>
      </c>
      <c r="H297" s="11" t="n">
        <f aca="false">IF(G297="Yes",1,0)</f>
        <v>0</v>
      </c>
    </row>
    <row r="298" customFormat="false" ht="15" hidden="false" customHeight="false" outlineLevel="0" collapsed="false">
      <c r="A298" s="10" t="n">
        <v>297</v>
      </c>
      <c r="B298" s="10" t="n">
        <v>62</v>
      </c>
      <c r="C298" s="10" t="s">
        <v>27</v>
      </c>
      <c r="D298" s="10" t="n">
        <v>31</v>
      </c>
      <c r="E298" s="11" t="str">
        <f aca="false">IF(B298&lt;50,"Low",IF(B298&lt;70,"Mid","High"))</f>
        <v>Mid</v>
      </c>
      <c r="F298" s="11" t="str">
        <f aca="false">IF(D298&lt;24,"Short","Long")</f>
        <v>Long</v>
      </c>
      <c r="G298" s="10" t="s">
        <v>28</v>
      </c>
      <c r="H298" s="11" t="n">
        <f aca="false">IF(G298="Yes",1,0)</f>
        <v>0</v>
      </c>
    </row>
    <row r="299" customFormat="false" ht="15" hidden="false" customHeight="false" outlineLevel="0" collapsed="false">
      <c r="A299" s="10" t="n">
        <v>298</v>
      </c>
      <c r="B299" s="10" t="n">
        <v>72</v>
      </c>
      <c r="C299" s="10" t="s">
        <v>27</v>
      </c>
      <c r="D299" s="10" t="n">
        <v>29</v>
      </c>
      <c r="E299" s="11" t="str">
        <f aca="false">IF(B299&lt;50,"Low",IF(B299&lt;70,"Mid","High"))</f>
        <v>High</v>
      </c>
      <c r="F299" s="11" t="str">
        <f aca="false">IF(D299&lt;24,"Short","Long")</f>
        <v>Long</v>
      </c>
      <c r="G299" s="10" t="s">
        <v>30</v>
      </c>
      <c r="H299" s="11" t="n">
        <f aca="false">IF(G299="Yes",1,0)</f>
        <v>1</v>
      </c>
    </row>
    <row r="300" customFormat="false" ht="15" hidden="false" customHeight="false" outlineLevel="0" collapsed="false">
      <c r="A300" s="10" t="n">
        <v>299</v>
      </c>
      <c r="B300" s="10" t="n">
        <v>63</v>
      </c>
      <c r="C300" s="10" t="s">
        <v>29</v>
      </c>
      <c r="D300" s="10" t="n">
        <v>14</v>
      </c>
      <c r="E300" s="11" t="str">
        <f aca="false">IF(B300&lt;50,"Low",IF(B300&lt;70,"Mid","High"))</f>
        <v>Mid</v>
      </c>
      <c r="F300" s="11" t="str">
        <f aca="false">IF(D300&lt;24,"Short","Long")</f>
        <v>Short</v>
      </c>
      <c r="G300" s="10" t="s">
        <v>30</v>
      </c>
      <c r="H300" s="11" t="n">
        <f aca="false">IF(G300="Yes",1,0)</f>
        <v>1</v>
      </c>
    </row>
    <row r="301" customFormat="false" ht="15" hidden="false" customHeight="false" outlineLevel="0" collapsed="false">
      <c r="A301" s="10" t="n">
        <v>300</v>
      </c>
      <c r="B301" s="10" t="n">
        <v>41</v>
      </c>
      <c r="C301" s="10" t="s">
        <v>27</v>
      </c>
      <c r="D301" s="10" t="n">
        <v>26</v>
      </c>
      <c r="E301" s="11" t="str">
        <f aca="false">IF(B301&lt;50,"Low",IF(B301&lt;70,"Mid","High"))</f>
        <v>Low</v>
      </c>
      <c r="F301" s="11" t="str">
        <f aca="false">IF(D301&lt;24,"Short","Long")</f>
        <v>Long</v>
      </c>
      <c r="G301" s="10" t="s">
        <v>28</v>
      </c>
      <c r="H301" s="11" t="n">
        <f aca="false">IF(G301="Yes",1,0)</f>
        <v>0</v>
      </c>
    </row>
    <row r="302" customFormat="false" ht="15" hidden="false" customHeight="false" outlineLevel="0" collapsed="false">
      <c r="A302" s="10" t="n">
        <v>301</v>
      </c>
      <c r="B302" s="10" t="n">
        <v>79</v>
      </c>
      <c r="C302" s="10" t="s">
        <v>27</v>
      </c>
      <c r="D302" s="10" t="n">
        <v>28</v>
      </c>
      <c r="E302" s="11" t="str">
        <f aca="false">IF(B302&lt;50,"Low",IF(B302&lt;70,"Mid","High"))</f>
        <v>High</v>
      </c>
      <c r="F302" s="11" t="str">
        <f aca="false">IF(D302&lt;24,"Short","Long")</f>
        <v>Long</v>
      </c>
      <c r="G302" s="10" t="s">
        <v>28</v>
      </c>
      <c r="H302" s="11" t="n">
        <f aca="false">IF(G302="Yes",1,0)</f>
        <v>0</v>
      </c>
    </row>
    <row r="303" customFormat="false" ht="15" hidden="false" customHeight="false" outlineLevel="0" collapsed="false">
      <c r="A303" s="10" t="n">
        <v>302</v>
      </c>
      <c r="B303" s="10" t="n">
        <v>72</v>
      </c>
      <c r="C303" s="10" t="s">
        <v>29</v>
      </c>
      <c r="D303" s="10" t="n">
        <v>21</v>
      </c>
      <c r="E303" s="11" t="str">
        <f aca="false">IF(B303&lt;50,"Low",IF(B303&lt;70,"Mid","High"))</f>
        <v>High</v>
      </c>
      <c r="F303" s="11" t="str">
        <f aca="false">IF(D303&lt;24,"Short","Long")</f>
        <v>Short</v>
      </c>
      <c r="G303" s="10" t="s">
        <v>30</v>
      </c>
      <c r="H303" s="11" t="n">
        <f aca="false">IF(G303="Yes",1,0)</f>
        <v>1</v>
      </c>
    </row>
    <row r="304" customFormat="false" ht="15" hidden="false" customHeight="false" outlineLevel="0" collapsed="false">
      <c r="A304" s="10" t="n">
        <v>303</v>
      </c>
      <c r="B304" s="10" t="n">
        <v>52</v>
      </c>
      <c r="C304" s="10" t="s">
        <v>29</v>
      </c>
      <c r="D304" s="10" t="n">
        <v>12</v>
      </c>
      <c r="E304" s="11" t="str">
        <f aca="false">IF(B304&lt;50,"Low",IF(B304&lt;70,"Mid","High"))</f>
        <v>Mid</v>
      </c>
      <c r="F304" s="11" t="str">
        <f aca="false">IF(D304&lt;24,"Short","Long")</f>
        <v>Short</v>
      </c>
      <c r="G304" s="10" t="s">
        <v>28</v>
      </c>
      <c r="H304" s="11" t="n">
        <f aca="false">IF(G304="Yes",1,0)</f>
        <v>0</v>
      </c>
    </row>
    <row r="305" customFormat="false" ht="15" hidden="false" customHeight="false" outlineLevel="0" collapsed="false">
      <c r="A305" s="10" t="n">
        <v>304</v>
      </c>
      <c r="B305" s="10" t="n">
        <v>45</v>
      </c>
      <c r="C305" s="10" t="s">
        <v>29</v>
      </c>
      <c r="D305" s="10" t="n">
        <v>11</v>
      </c>
      <c r="E305" s="11" t="str">
        <f aca="false">IF(B305&lt;50,"Low",IF(B305&lt;70,"Mid","High"))</f>
        <v>Low</v>
      </c>
      <c r="F305" s="11" t="str">
        <f aca="false">IF(D305&lt;24,"Short","Long")</f>
        <v>Short</v>
      </c>
      <c r="G305" s="10" t="s">
        <v>28</v>
      </c>
      <c r="H305" s="11" t="n">
        <f aca="false">IF(G305="Yes",1,0)</f>
        <v>0</v>
      </c>
    </row>
    <row r="306" customFormat="false" ht="15" hidden="false" customHeight="false" outlineLevel="0" collapsed="false">
      <c r="A306" s="10" t="n">
        <v>305</v>
      </c>
      <c r="B306" s="10" t="n">
        <v>73</v>
      </c>
      <c r="C306" s="10" t="s">
        <v>29</v>
      </c>
      <c r="D306" s="10" t="n">
        <v>16</v>
      </c>
      <c r="E306" s="11" t="str">
        <f aca="false">IF(B306&lt;50,"Low",IF(B306&lt;70,"Mid","High"))</f>
        <v>High</v>
      </c>
      <c r="F306" s="11" t="str">
        <f aca="false">IF(D306&lt;24,"Short","Long")</f>
        <v>Short</v>
      </c>
      <c r="G306" s="10" t="s">
        <v>30</v>
      </c>
      <c r="H306" s="11" t="n">
        <f aca="false">IF(G306="Yes",1,0)</f>
        <v>1</v>
      </c>
    </row>
    <row r="307" customFormat="false" ht="15" hidden="false" customHeight="false" outlineLevel="0" collapsed="false">
      <c r="A307" s="10" t="n">
        <v>306</v>
      </c>
      <c r="B307" s="10" t="n">
        <v>66</v>
      </c>
      <c r="C307" s="10" t="s">
        <v>29</v>
      </c>
      <c r="D307" s="10" t="n">
        <v>20</v>
      </c>
      <c r="E307" s="11" t="str">
        <f aca="false">IF(B307&lt;50,"Low",IF(B307&lt;70,"Mid","High"))</f>
        <v>Mid</v>
      </c>
      <c r="F307" s="11" t="str">
        <f aca="false">IF(D307&lt;24,"Short","Long")</f>
        <v>Short</v>
      </c>
      <c r="G307" s="10" t="s">
        <v>28</v>
      </c>
      <c r="H307" s="11" t="n">
        <f aca="false">IF(G307="Yes",1,0)</f>
        <v>0</v>
      </c>
    </row>
    <row r="308" customFormat="false" ht="15" hidden="false" customHeight="false" outlineLevel="0" collapsed="false">
      <c r="A308" s="10" t="n">
        <v>307</v>
      </c>
      <c r="B308" s="10" t="n">
        <v>53</v>
      </c>
      <c r="C308" s="10" t="s">
        <v>27</v>
      </c>
      <c r="D308" s="10" t="n">
        <v>43</v>
      </c>
      <c r="E308" s="11" t="str">
        <f aca="false">IF(B308&lt;50,"Low",IF(B308&lt;70,"Mid","High"))</f>
        <v>Mid</v>
      </c>
      <c r="F308" s="11" t="str">
        <f aca="false">IF(D308&lt;24,"Short","Long")</f>
        <v>Long</v>
      </c>
      <c r="G308" s="10" t="s">
        <v>28</v>
      </c>
      <c r="H308" s="11" t="n">
        <f aca="false">IF(G308="Yes",1,0)</f>
        <v>0</v>
      </c>
    </row>
    <row r="309" customFormat="false" ht="15" hidden="false" customHeight="false" outlineLevel="0" collapsed="false">
      <c r="A309" s="10" t="n">
        <v>308</v>
      </c>
      <c r="B309" s="10" t="n">
        <v>62</v>
      </c>
      <c r="C309" s="10" t="s">
        <v>27</v>
      </c>
      <c r="D309" s="10" t="n">
        <v>24</v>
      </c>
      <c r="E309" s="11" t="str">
        <f aca="false">IF(B309&lt;50,"Low",IF(B309&lt;70,"Mid","High"))</f>
        <v>Mid</v>
      </c>
      <c r="F309" s="11" t="str">
        <f aca="false">IF(D309&lt;24,"Short","Long")</f>
        <v>Long</v>
      </c>
      <c r="G309" s="10" t="s">
        <v>28</v>
      </c>
      <c r="H309" s="11" t="n">
        <f aca="false">IF(G309="Yes",1,0)</f>
        <v>0</v>
      </c>
    </row>
    <row r="310" customFormat="false" ht="15" hidden="false" customHeight="false" outlineLevel="0" collapsed="false">
      <c r="A310" s="10" t="n">
        <v>309</v>
      </c>
      <c r="B310" s="10" t="n">
        <v>54</v>
      </c>
      <c r="C310" s="10" t="s">
        <v>29</v>
      </c>
      <c r="D310" s="10" t="n">
        <v>15</v>
      </c>
      <c r="E310" s="11" t="str">
        <f aca="false">IF(B310&lt;50,"Low",IF(B310&lt;70,"Mid","High"))</f>
        <v>Mid</v>
      </c>
      <c r="F310" s="11" t="str">
        <f aca="false">IF(D310&lt;24,"Short","Long")</f>
        <v>Short</v>
      </c>
      <c r="G310" s="10" t="s">
        <v>28</v>
      </c>
      <c r="H310" s="11" t="n">
        <f aca="false">IF(G310="Yes",1,0)</f>
        <v>0</v>
      </c>
    </row>
    <row r="311" customFormat="false" ht="15" hidden="false" customHeight="false" outlineLevel="0" collapsed="false">
      <c r="A311" s="10" t="n">
        <v>310</v>
      </c>
      <c r="B311" s="10" t="n">
        <v>69</v>
      </c>
      <c r="C311" s="10" t="s">
        <v>27</v>
      </c>
      <c r="D311" s="10" t="n">
        <v>47</v>
      </c>
      <c r="E311" s="11" t="str">
        <f aca="false">IF(B311&lt;50,"Low",IF(B311&lt;70,"Mid","High"))</f>
        <v>Mid</v>
      </c>
      <c r="F311" s="11" t="str">
        <f aca="false">IF(D311&lt;24,"Short","Long")</f>
        <v>Long</v>
      </c>
      <c r="G311" s="10" t="s">
        <v>28</v>
      </c>
      <c r="H311" s="11" t="n">
        <f aca="false">IF(G311="Yes",1,0)</f>
        <v>0</v>
      </c>
    </row>
    <row r="312" customFormat="false" ht="15" hidden="false" customHeight="false" outlineLevel="0" collapsed="false">
      <c r="A312" s="10" t="n">
        <v>311</v>
      </c>
      <c r="B312" s="10" t="n">
        <v>51</v>
      </c>
      <c r="C312" s="10" t="s">
        <v>29</v>
      </c>
      <c r="D312" s="10" t="n">
        <v>22</v>
      </c>
      <c r="E312" s="11" t="str">
        <f aca="false">IF(B312&lt;50,"Low",IF(B312&lt;70,"Mid","High"))</f>
        <v>Mid</v>
      </c>
      <c r="F312" s="11" t="str">
        <f aca="false">IF(D312&lt;24,"Short","Long")</f>
        <v>Short</v>
      </c>
      <c r="G312" s="10" t="s">
        <v>28</v>
      </c>
      <c r="H312" s="11" t="n">
        <f aca="false">IF(G312="Yes",1,0)</f>
        <v>0</v>
      </c>
    </row>
    <row r="313" customFormat="false" ht="15" hidden="false" customHeight="false" outlineLevel="0" collapsed="false">
      <c r="A313" s="10" t="n">
        <v>312</v>
      </c>
      <c r="B313" s="10" t="n">
        <v>52</v>
      </c>
      <c r="C313" s="10" t="s">
        <v>29</v>
      </c>
      <c r="D313" s="10" t="n">
        <v>18</v>
      </c>
      <c r="E313" s="11" t="str">
        <f aca="false">IF(B313&lt;50,"Low",IF(B313&lt;70,"Mid","High"))</f>
        <v>Mid</v>
      </c>
      <c r="F313" s="11" t="str">
        <f aca="false">IF(D313&lt;24,"Short","Long")</f>
        <v>Short</v>
      </c>
      <c r="G313" s="10" t="s">
        <v>28</v>
      </c>
      <c r="H313" s="11" t="n">
        <f aca="false">IF(G313="Yes",1,0)</f>
        <v>0</v>
      </c>
    </row>
    <row r="314" customFormat="false" ht="15" hidden="false" customHeight="false" outlineLevel="0" collapsed="false">
      <c r="A314" s="10" t="n">
        <v>313</v>
      </c>
      <c r="B314" s="10" t="n">
        <v>32</v>
      </c>
      <c r="C314" s="10" t="s">
        <v>29</v>
      </c>
      <c r="D314" s="10" t="n">
        <v>16</v>
      </c>
      <c r="E314" s="11" t="str">
        <f aca="false">IF(B314&lt;50,"Low",IF(B314&lt;70,"Mid","High"))</f>
        <v>Low</v>
      </c>
      <c r="F314" s="11" t="str">
        <f aca="false">IF(D314&lt;24,"Short","Long")</f>
        <v>Short</v>
      </c>
      <c r="G314" s="10" t="s">
        <v>28</v>
      </c>
      <c r="H314" s="11" t="n">
        <f aca="false">IF(G314="Yes",1,0)</f>
        <v>0</v>
      </c>
    </row>
    <row r="315" customFormat="false" ht="15" hidden="false" customHeight="false" outlineLevel="0" collapsed="false">
      <c r="A315" s="10" t="n">
        <v>314</v>
      </c>
      <c r="B315" s="10" t="n">
        <v>48</v>
      </c>
      <c r="C315" s="10" t="s">
        <v>29</v>
      </c>
      <c r="D315" s="10" t="n">
        <v>5</v>
      </c>
      <c r="E315" s="11" t="str">
        <f aca="false">IF(B315&lt;50,"Low",IF(B315&lt;70,"Mid","High"))</f>
        <v>Low</v>
      </c>
      <c r="F315" s="11" t="str">
        <f aca="false">IF(D315&lt;24,"Short","Long")</f>
        <v>Short</v>
      </c>
      <c r="G315" s="10" t="s">
        <v>28</v>
      </c>
      <c r="H315" s="11" t="n">
        <f aca="false">IF(G315="Yes",1,0)</f>
        <v>0</v>
      </c>
    </row>
    <row r="316" customFormat="false" ht="15" hidden="false" customHeight="false" outlineLevel="0" collapsed="false">
      <c r="A316" s="10" t="n">
        <v>315</v>
      </c>
      <c r="B316" s="10" t="n">
        <v>48</v>
      </c>
      <c r="C316" s="10" t="s">
        <v>29</v>
      </c>
      <c r="D316" s="10" t="n">
        <v>6</v>
      </c>
      <c r="E316" s="11" t="str">
        <f aca="false">IF(B316&lt;50,"Low",IF(B316&lt;70,"Mid","High"))</f>
        <v>Low</v>
      </c>
      <c r="F316" s="11" t="str">
        <f aca="false">IF(D316&lt;24,"Short","Long")</f>
        <v>Short</v>
      </c>
      <c r="G316" s="10" t="s">
        <v>28</v>
      </c>
      <c r="H316" s="11" t="n">
        <f aca="false">IF(G316="Yes",1,0)</f>
        <v>0</v>
      </c>
    </row>
    <row r="317" customFormat="false" ht="15" hidden="false" customHeight="false" outlineLevel="0" collapsed="false">
      <c r="A317" s="10" t="n">
        <v>316</v>
      </c>
      <c r="B317" s="10" t="n">
        <v>85</v>
      </c>
      <c r="C317" s="10" t="s">
        <v>29</v>
      </c>
      <c r="D317" s="10" t="n">
        <v>6</v>
      </c>
      <c r="E317" s="11" t="str">
        <f aca="false">IF(B317&lt;50,"Low",IF(B317&lt;70,"Mid","High"))</f>
        <v>High</v>
      </c>
      <c r="F317" s="11" t="str">
        <f aca="false">IF(D317&lt;24,"Short","Long")</f>
        <v>Short</v>
      </c>
      <c r="G317" s="10" t="s">
        <v>30</v>
      </c>
      <c r="H317" s="11" t="n">
        <f aca="false">IF(G317="Yes",1,0)</f>
        <v>1</v>
      </c>
    </row>
    <row r="318" customFormat="false" ht="15" hidden="false" customHeight="false" outlineLevel="0" collapsed="false">
      <c r="A318" s="10" t="n">
        <v>317</v>
      </c>
      <c r="B318" s="10" t="n">
        <v>65</v>
      </c>
      <c r="C318" s="10" t="s">
        <v>29</v>
      </c>
      <c r="D318" s="10" t="n">
        <v>11</v>
      </c>
      <c r="E318" s="11" t="str">
        <f aca="false">IF(B318&lt;50,"Low",IF(B318&lt;70,"Mid","High"))</f>
        <v>Mid</v>
      </c>
      <c r="F318" s="11" t="str">
        <f aca="false">IF(D318&lt;24,"Short","Long")</f>
        <v>Short</v>
      </c>
      <c r="G318" s="10" t="s">
        <v>30</v>
      </c>
      <c r="H318" s="11" t="n">
        <f aca="false">IF(G318="Yes",1,0)</f>
        <v>1</v>
      </c>
    </row>
    <row r="319" customFormat="false" ht="15" hidden="false" customHeight="false" outlineLevel="0" collapsed="false">
      <c r="A319" s="10" t="n">
        <v>318</v>
      </c>
      <c r="B319" s="10" t="n">
        <v>42</v>
      </c>
      <c r="C319" s="10" t="s">
        <v>27</v>
      </c>
      <c r="D319" s="10" t="n">
        <v>34</v>
      </c>
      <c r="E319" s="11" t="str">
        <f aca="false">IF(B319&lt;50,"Low",IF(B319&lt;70,"Mid","High"))</f>
        <v>Low</v>
      </c>
      <c r="F319" s="11" t="str">
        <f aca="false">IF(D319&lt;24,"Short","Long")</f>
        <v>Long</v>
      </c>
      <c r="G319" s="10" t="s">
        <v>28</v>
      </c>
      <c r="H319" s="11" t="n">
        <f aca="false">IF(G319="Yes",1,0)</f>
        <v>0</v>
      </c>
    </row>
    <row r="320" customFormat="false" ht="15" hidden="false" customHeight="false" outlineLevel="0" collapsed="false">
      <c r="A320" s="10" t="n">
        <v>319</v>
      </c>
      <c r="B320" s="10" t="n">
        <v>79</v>
      </c>
      <c r="C320" s="10" t="s">
        <v>27</v>
      </c>
      <c r="D320" s="10" t="n">
        <v>20</v>
      </c>
      <c r="E320" s="11" t="str">
        <f aca="false">IF(B320&lt;50,"Low",IF(B320&lt;70,"Mid","High"))</f>
        <v>High</v>
      </c>
      <c r="F320" s="11" t="str">
        <f aca="false">IF(D320&lt;24,"Short","Long")</f>
        <v>Short</v>
      </c>
      <c r="G320" s="10" t="s">
        <v>28</v>
      </c>
      <c r="H320" s="11" t="n">
        <f aca="false">IF(G320="Yes",1,0)</f>
        <v>0</v>
      </c>
    </row>
    <row r="321" customFormat="false" ht="15" hidden="false" customHeight="false" outlineLevel="0" collapsed="false">
      <c r="A321" s="10" t="n">
        <v>320</v>
      </c>
      <c r="B321" s="10" t="n">
        <v>69</v>
      </c>
      <c r="C321" s="10" t="s">
        <v>27</v>
      </c>
      <c r="D321" s="10" t="n">
        <v>37</v>
      </c>
      <c r="E321" s="11" t="str">
        <f aca="false">IF(B321&lt;50,"Low",IF(B321&lt;70,"Mid","High"))</f>
        <v>Mid</v>
      </c>
      <c r="F321" s="11" t="str">
        <f aca="false">IF(D321&lt;24,"Short","Long")</f>
        <v>Long</v>
      </c>
      <c r="G321" s="10" t="s">
        <v>28</v>
      </c>
      <c r="H321" s="11" t="n">
        <f aca="false">IF(G321="Yes",1,0)</f>
        <v>0</v>
      </c>
    </row>
    <row r="322" customFormat="false" ht="15" hidden="false" customHeight="false" outlineLevel="0" collapsed="false">
      <c r="A322" s="10" t="n">
        <v>321</v>
      </c>
      <c r="B322" s="10" t="n">
        <v>72</v>
      </c>
      <c r="C322" s="10" t="s">
        <v>29</v>
      </c>
      <c r="D322" s="10" t="n">
        <v>9</v>
      </c>
      <c r="E322" s="11" t="str">
        <f aca="false">IF(B322&lt;50,"Low",IF(B322&lt;70,"Mid","High"))</f>
        <v>High</v>
      </c>
      <c r="F322" s="11" t="str">
        <f aca="false">IF(D322&lt;24,"Short","Long")</f>
        <v>Short</v>
      </c>
      <c r="G322" s="10" t="s">
        <v>30</v>
      </c>
      <c r="H322" s="11" t="n">
        <f aca="false">IF(G322="Yes",1,0)</f>
        <v>1</v>
      </c>
    </row>
    <row r="323" customFormat="false" ht="15" hidden="false" customHeight="false" outlineLevel="0" collapsed="false">
      <c r="A323" s="10" t="n">
        <v>322</v>
      </c>
      <c r="B323" s="10" t="n">
        <v>34</v>
      </c>
      <c r="C323" s="10" t="s">
        <v>29</v>
      </c>
      <c r="D323" s="10" t="n">
        <v>24</v>
      </c>
      <c r="E323" s="11" t="str">
        <f aca="false">IF(B323&lt;50,"Low",IF(B323&lt;70,"Mid","High"))</f>
        <v>Low</v>
      </c>
      <c r="F323" s="11" t="str">
        <f aca="false">IF(D323&lt;24,"Short","Long")</f>
        <v>Long</v>
      </c>
      <c r="G323" s="10" t="s">
        <v>28</v>
      </c>
      <c r="H323" s="11" t="n">
        <f aca="false">IF(G323="Yes",1,0)</f>
        <v>0</v>
      </c>
    </row>
    <row r="324" customFormat="false" ht="15" hidden="false" customHeight="false" outlineLevel="0" collapsed="false">
      <c r="A324" s="10" t="n">
        <v>323</v>
      </c>
      <c r="B324" s="10" t="n">
        <v>82</v>
      </c>
      <c r="C324" s="10" t="s">
        <v>27</v>
      </c>
      <c r="D324" s="10" t="n">
        <v>29</v>
      </c>
      <c r="E324" s="11" t="str">
        <f aca="false">IF(B324&lt;50,"Low",IF(B324&lt;70,"Mid","High"))</f>
        <v>High</v>
      </c>
      <c r="F324" s="11" t="str">
        <f aca="false">IF(D324&lt;24,"Short","Long")</f>
        <v>Long</v>
      </c>
      <c r="G324" s="10" t="s">
        <v>28</v>
      </c>
      <c r="H324" s="11" t="n">
        <f aca="false">IF(G324="Yes",1,0)</f>
        <v>0</v>
      </c>
    </row>
    <row r="325" customFormat="false" ht="15" hidden="false" customHeight="false" outlineLevel="0" collapsed="false">
      <c r="A325" s="10" t="n">
        <v>324</v>
      </c>
      <c r="B325" s="10" t="n">
        <v>43</v>
      </c>
      <c r="C325" s="10" t="s">
        <v>27</v>
      </c>
      <c r="D325" s="10" t="n">
        <v>31</v>
      </c>
      <c r="E325" s="11" t="str">
        <f aca="false">IF(B325&lt;50,"Low",IF(B325&lt;70,"Mid","High"))</f>
        <v>Low</v>
      </c>
      <c r="F325" s="11" t="str">
        <f aca="false">IF(D325&lt;24,"Short","Long")</f>
        <v>Long</v>
      </c>
      <c r="G325" s="10" t="s">
        <v>30</v>
      </c>
      <c r="H325" s="11" t="n">
        <f aca="false">IF(G325="Yes",1,0)</f>
        <v>1</v>
      </c>
    </row>
    <row r="326" customFormat="false" ht="15" hidden="false" customHeight="false" outlineLevel="0" collapsed="false">
      <c r="A326" s="10" t="n">
        <v>325</v>
      </c>
      <c r="B326" s="10" t="n">
        <v>55</v>
      </c>
      <c r="C326" s="10" t="s">
        <v>27</v>
      </c>
      <c r="D326" s="10" t="n">
        <v>25</v>
      </c>
      <c r="E326" s="11" t="str">
        <f aca="false">IF(B326&lt;50,"Low",IF(B326&lt;70,"Mid","High"))</f>
        <v>Mid</v>
      </c>
      <c r="F326" s="11" t="str">
        <f aca="false">IF(D326&lt;24,"Short","Long")</f>
        <v>Long</v>
      </c>
      <c r="G326" s="10" t="s">
        <v>28</v>
      </c>
      <c r="H326" s="11" t="n">
        <f aca="false">IF(G326="Yes",1,0)</f>
        <v>0</v>
      </c>
    </row>
    <row r="327" customFormat="false" ht="15" hidden="false" customHeight="false" outlineLevel="0" collapsed="false">
      <c r="A327" s="10" t="n">
        <v>326</v>
      </c>
      <c r="B327" s="10" t="n">
        <v>58</v>
      </c>
      <c r="C327" s="10" t="s">
        <v>27</v>
      </c>
      <c r="D327" s="10" t="n">
        <v>19</v>
      </c>
      <c r="E327" s="11" t="str">
        <f aca="false">IF(B327&lt;50,"Low",IF(B327&lt;70,"Mid","High"))</f>
        <v>Mid</v>
      </c>
      <c r="F327" s="11" t="str">
        <f aca="false">IF(D327&lt;24,"Short","Long")</f>
        <v>Short</v>
      </c>
      <c r="G327" s="10" t="s">
        <v>28</v>
      </c>
      <c r="H327" s="11" t="n">
        <f aca="false">IF(G327="Yes",1,0)</f>
        <v>0</v>
      </c>
    </row>
    <row r="328" customFormat="false" ht="15" hidden="false" customHeight="false" outlineLevel="0" collapsed="false">
      <c r="A328" s="10" t="n">
        <v>327</v>
      </c>
      <c r="B328" s="10" t="n">
        <v>63</v>
      </c>
      <c r="C328" s="10" t="s">
        <v>29</v>
      </c>
      <c r="D328" s="10" t="n">
        <v>9</v>
      </c>
      <c r="E328" s="11" t="str">
        <f aca="false">IF(B328&lt;50,"Low",IF(B328&lt;70,"Mid","High"))</f>
        <v>Mid</v>
      </c>
      <c r="F328" s="11" t="str">
        <f aca="false">IF(D328&lt;24,"Short","Long")</f>
        <v>Short</v>
      </c>
      <c r="G328" s="10" t="s">
        <v>28</v>
      </c>
      <c r="H328" s="11" t="n">
        <f aca="false">IF(G328="Yes",1,0)</f>
        <v>0</v>
      </c>
    </row>
    <row r="329" customFormat="false" ht="15" hidden="false" customHeight="false" outlineLevel="0" collapsed="false">
      <c r="A329" s="10" t="n">
        <v>328</v>
      </c>
      <c r="B329" s="10" t="n">
        <v>66</v>
      </c>
      <c r="C329" s="10" t="s">
        <v>29</v>
      </c>
      <c r="D329" s="10" t="n">
        <v>5</v>
      </c>
      <c r="E329" s="11" t="str">
        <f aca="false">IF(B329&lt;50,"Low",IF(B329&lt;70,"Mid","High"))</f>
        <v>Mid</v>
      </c>
      <c r="F329" s="11" t="str">
        <f aca="false">IF(D329&lt;24,"Short","Long")</f>
        <v>Short</v>
      </c>
      <c r="G329" s="10" t="s">
        <v>30</v>
      </c>
      <c r="H329" s="11" t="n">
        <f aca="false">IF(G329="Yes",1,0)</f>
        <v>1</v>
      </c>
    </row>
    <row r="330" customFormat="false" ht="15" hidden="false" customHeight="false" outlineLevel="0" collapsed="false">
      <c r="A330" s="10" t="n">
        <v>329</v>
      </c>
      <c r="B330" s="10" t="n">
        <v>73</v>
      </c>
      <c r="C330" s="10" t="s">
        <v>27</v>
      </c>
      <c r="D330" s="10" t="n">
        <v>30</v>
      </c>
      <c r="E330" s="11" t="str">
        <f aca="false">IF(B330&lt;50,"Low",IF(B330&lt;70,"Mid","High"))</f>
        <v>High</v>
      </c>
      <c r="F330" s="11" t="str">
        <f aca="false">IF(D330&lt;24,"Short","Long")</f>
        <v>Long</v>
      </c>
      <c r="G330" s="10" t="s">
        <v>30</v>
      </c>
      <c r="H330" s="11" t="n">
        <f aca="false">IF(G330="Yes",1,0)</f>
        <v>1</v>
      </c>
    </row>
    <row r="331" customFormat="false" ht="15" hidden="false" customHeight="false" outlineLevel="0" collapsed="false">
      <c r="A331" s="10" t="n">
        <v>330</v>
      </c>
      <c r="B331" s="10" t="n">
        <v>77</v>
      </c>
      <c r="C331" s="10" t="s">
        <v>29</v>
      </c>
      <c r="D331" s="10" t="n">
        <v>14</v>
      </c>
      <c r="E331" s="11" t="str">
        <f aca="false">IF(B331&lt;50,"Low",IF(B331&lt;70,"Mid","High"))</f>
        <v>High</v>
      </c>
      <c r="F331" s="11" t="str">
        <f aca="false">IF(D331&lt;24,"Short","Long")</f>
        <v>Short</v>
      </c>
      <c r="G331" s="10" t="s">
        <v>30</v>
      </c>
      <c r="H331" s="11" t="n">
        <f aca="false">IF(G331="Yes",1,0)</f>
        <v>1</v>
      </c>
    </row>
    <row r="332" customFormat="false" ht="15" hidden="false" customHeight="false" outlineLevel="0" collapsed="false">
      <c r="A332" s="10" t="n">
        <v>331</v>
      </c>
      <c r="B332" s="10" t="n">
        <v>54</v>
      </c>
      <c r="C332" s="10" t="s">
        <v>29</v>
      </c>
      <c r="D332" s="10" t="n">
        <v>17</v>
      </c>
      <c r="E332" s="11" t="str">
        <f aca="false">IF(B332&lt;50,"Low",IF(B332&lt;70,"Mid","High"))</f>
        <v>Mid</v>
      </c>
      <c r="F332" s="11" t="str">
        <f aca="false">IF(D332&lt;24,"Short","Long")</f>
        <v>Short</v>
      </c>
      <c r="G332" s="10" t="s">
        <v>28</v>
      </c>
      <c r="H332" s="11" t="n">
        <f aca="false">IF(G332="Yes",1,0)</f>
        <v>0</v>
      </c>
    </row>
    <row r="333" customFormat="false" ht="15" hidden="false" customHeight="false" outlineLevel="0" collapsed="false">
      <c r="A333" s="10" t="n">
        <v>332</v>
      </c>
      <c r="B333" s="10" t="n">
        <v>66</v>
      </c>
      <c r="C333" s="10" t="s">
        <v>29</v>
      </c>
      <c r="D333" s="10" t="n">
        <v>11</v>
      </c>
      <c r="E333" s="11" t="str">
        <f aca="false">IF(B333&lt;50,"Low",IF(B333&lt;70,"Mid","High"))</f>
        <v>Mid</v>
      </c>
      <c r="F333" s="11" t="str">
        <f aca="false">IF(D333&lt;24,"Short","Long")</f>
        <v>Short</v>
      </c>
      <c r="G333" s="10" t="s">
        <v>30</v>
      </c>
      <c r="H333" s="11" t="n">
        <f aca="false">IF(G333="Yes",1,0)</f>
        <v>1</v>
      </c>
    </row>
    <row r="334" customFormat="false" ht="15" hidden="false" customHeight="false" outlineLevel="0" collapsed="false">
      <c r="A334" s="10" t="n">
        <v>333</v>
      </c>
      <c r="B334" s="10" t="n">
        <v>60</v>
      </c>
      <c r="C334" s="10" t="s">
        <v>29</v>
      </c>
      <c r="D334" s="10" t="n">
        <v>23</v>
      </c>
      <c r="E334" s="11" t="str">
        <f aca="false">IF(B334&lt;50,"Low",IF(B334&lt;70,"Mid","High"))</f>
        <v>Mid</v>
      </c>
      <c r="F334" s="11" t="str">
        <f aca="false">IF(D334&lt;24,"Short","Long")</f>
        <v>Short</v>
      </c>
      <c r="G334" s="10" t="s">
        <v>28</v>
      </c>
      <c r="H334" s="11" t="n">
        <f aca="false">IF(G334="Yes",1,0)</f>
        <v>0</v>
      </c>
    </row>
    <row r="335" customFormat="false" ht="15" hidden="false" customHeight="false" outlineLevel="0" collapsed="false">
      <c r="A335" s="10" t="n">
        <v>334</v>
      </c>
      <c r="B335" s="10" t="n">
        <v>52</v>
      </c>
      <c r="C335" s="10" t="s">
        <v>27</v>
      </c>
      <c r="D335" s="10" t="n">
        <v>40</v>
      </c>
      <c r="E335" s="11" t="str">
        <f aca="false">IF(B335&lt;50,"Low",IF(B335&lt;70,"Mid","High"))</f>
        <v>Mid</v>
      </c>
      <c r="F335" s="11" t="str">
        <f aca="false">IF(D335&lt;24,"Short","Long")</f>
        <v>Long</v>
      </c>
      <c r="G335" s="10" t="s">
        <v>28</v>
      </c>
      <c r="H335" s="11" t="n">
        <f aca="false">IF(G335="Yes",1,0)</f>
        <v>0</v>
      </c>
    </row>
    <row r="336" customFormat="false" ht="15" hidden="false" customHeight="false" outlineLevel="0" collapsed="false">
      <c r="A336" s="10" t="n">
        <v>335</v>
      </c>
      <c r="B336" s="10" t="n">
        <v>55</v>
      </c>
      <c r="C336" s="10" t="s">
        <v>27</v>
      </c>
      <c r="D336" s="10" t="n">
        <v>36</v>
      </c>
      <c r="E336" s="11" t="str">
        <f aca="false">IF(B336&lt;50,"Low",IF(B336&lt;70,"Mid","High"))</f>
        <v>Mid</v>
      </c>
      <c r="F336" s="11" t="str">
        <f aca="false">IF(D336&lt;24,"Short","Long")</f>
        <v>Long</v>
      </c>
      <c r="G336" s="10" t="s">
        <v>28</v>
      </c>
      <c r="H336" s="11" t="n">
        <f aca="false">IF(G336="Yes",1,0)</f>
        <v>0</v>
      </c>
    </row>
    <row r="337" customFormat="false" ht="15" hidden="false" customHeight="false" outlineLevel="0" collapsed="false">
      <c r="A337" s="10" t="n">
        <v>336</v>
      </c>
      <c r="B337" s="10" t="n">
        <v>47</v>
      </c>
      <c r="C337" s="10" t="s">
        <v>27</v>
      </c>
      <c r="D337" s="10" t="n">
        <v>32</v>
      </c>
      <c r="E337" s="11" t="str">
        <f aca="false">IF(B337&lt;50,"Low",IF(B337&lt;70,"Mid","High"))</f>
        <v>Low</v>
      </c>
      <c r="F337" s="11" t="str">
        <f aca="false">IF(D337&lt;24,"Short","Long")</f>
        <v>Long</v>
      </c>
      <c r="G337" s="10" t="s">
        <v>28</v>
      </c>
      <c r="H337" s="11" t="n">
        <f aca="false">IF(G337="Yes",1,0)</f>
        <v>0</v>
      </c>
    </row>
    <row r="338" customFormat="false" ht="15" hidden="false" customHeight="false" outlineLevel="0" collapsed="false">
      <c r="A338" s="10" t="n">
        <v>337</v>
      </c>
      <c r="B338" s="10" t="n">
        <v>52</v>
      </c>
      <c r="C338" s="10" t="s">
        <v>27</v>
      </c>
      <c r="D338" s="10" t="n">
        <v>22</v>
      </c>
      <c r="E338" s="11" t="str">
        <f aca="false">IF(B338&lt;50,"Low",IF(B338&lt;70,"Mid","High"))</f>
        <v>Mid</v>
      </c>
      <c r="F338" s="11" t="str">
        <f aca="false">IF(D338&lt;24,"Short","Long")</f>
        <v>Short</v>
      </c>
      <c r="G338" s="10" t="s">
        <v>28</v>
      </c>
      <c r="H338" s="11" t="n">
        <f aca="false">IF(G338="Yes",1,0)</f>
        <v>0</v>
      </c>
    </row>
    <row r="339" customFormat="false" ht="15" hidden="false" customHeight="false" outlineLevel="0" collapsed="false">
      <c r="A339" s="10" t="n">
        <v>338</v>
      </c>
      <c r="B339" s="10" t="n">
        <v>59</v>
      </c>
      <c r="C339" s="10" t="s">
        <v>27</v>
      </c>
      <c r="D339" s="10" t="n">
        <v>20</v>
      </c>
      <c r="E339" s="11" t="str">
        <f aca="false">IF(B339&lt;50,"Low",IF(B339&lt;70,"Mid","High"))</f>
        <v>Mid</v>
      </c>
      <c r="F339" s="11" t="str">
        <f aca="false">IF(D339&lt;24,"Short","Long")</f>
        <v>Short</v>
      </c>
      <c r="G339" s="10" t="s">
        <v>28</v>
      </c>
      <c r="H339" s="11" t="n">
        <f aca="false">IF(G339="Yes",1,0)</f>
        <v>0</v>
      </c>
    </row>
    <row r="340" customFormat="false" ht="15" hidden="false" customHeight="false" outlineLevel="0" collapsed="false">
      <c r="A340" s="10" t="n">
        <v>339</v>
      </c>
      <c r="B340" s="10" t="n">
        <v>75</v>
      </c>
      <c r="C340" s="10" t="s">
        <v>29</v>
      </c>
      <c r="D340" s="10" t="n">
        <v>17</v>
      </c>
      <c r="E340" s="11" t="str">
        <f aca="false">IF(B340&lt;50,"Low",IF(B340&lt;70,"Mid","High"))</f>
        <v>High</v>
      </c>
      <c r="F340" s="11" t="str">
        <f aca="false">IF(D340&lt;24,"Short","Long")</f>
        <v>Short</v>
      </c>
      <c r="G340" s="10" t="s">
        <v>28</v>
      </c>
      <c r="H340" s="11" t="n">
        <f aca="false">IF(G340="Yes",1,0)</f>
        <v>0</v>
      </c>
    </row>
    <row r="341" customFormat="false" ht="15" hidden="false" customHeight="false" outlineLevel="0" collapsed="false">
      <c r="A341" s="10" t="n">
        <v>340</v>
      </c>
      <c r="B341" s="10" t="n">
        <v>84</v>
      </c>
      <c r="C341" s="10" t="s">
        <v>27</v>
      </c>
      <c r="D341" s="10" t="n">
        <v>29</v>
      </c>
      <c r="E341" s="11" t="str">
        <f aca="false">IF(B341&lt;50,"Low",IF(B341&lt;70,"Mid","High"))</f>
        <v>High</v>
      </c>
      <c r="F341" s="11" t="str">
        <f aca="false">IF(D341&lt;24,"Short","Long")</f>
        <v>Long</v>
      </c>
      <c r="G341" s="10" t="s">
        <v>30</v>
      </c>
      <c r="H341" s="11" t="n">
        <f aca="false">IF(G341="Yes",1,0)</f>
        <v>1</v>
      </c>
    </row>
    <row r="342" customFormat="false" ht="15" hidden="false" customHeight="false" outlineLevel="0" collapsed="false">
      <c r="A342" s="10" t="n">
        <v>341</v>
      </c>
      <c r="B342" s="10" t="n">
        <v>61</v>
      </c>
      <c r="C342" s="10" t="s">
        <v>29</v>
      </c>
      <c r="D342" s="10" t="n">
        <v>22</v>
      </c>
      <c r="E342" s="11" t="str">
        <f aca="false">IF(B342&lt;50,"Low",IF(B342&lt;70,"Mid","High"))</f>
        <v>Mid</v>
      </c>
      <c r="F342" s="11" t="str">
        <f aca="false">IF(D342&lt;24,"Short","Long")</f>
        <v>Short</v>
      </c>
      <c r="G342" s="10" t="s">
        <v>30</v>
      </c>
      <c r="H342" s="11" t="n">
        <f aca="false">IF(G342="Yes",1,0)</f>
        <v>1</v>
      </c>
    </row>
    <row r="343" customFormat="false" ht="15" hidden="false" customHeight="false" outlineLevel="0" collapsed="false">
      <c r="A343" s="10" t="n">
        <v>342</v>
      </c>
      <c r="B343" s="10" t="n">
        <v>69</v>
      </c>
      <c r="C343" s="10" t="s">
        <v>29</v>
      </c>
      <c r="D343" s="10" t="n">
        <v>18</v>
      </c>
      <c r="E343" s="11" t="str">
        <f aca="false">IF(B343&lt;50,"Low",IF(B343&lt;70,"Mid","High"))</f>
        <v>Mid</v>
      </c>
      <c r="F343" s="11" t="str">
        <f aca="false">IF(D343&lt;24,"Short","Long")</f>
        <v>Short</v>
      </c>
      <c r="G343" s="10" t="s">
        <v>30</v>
      </c>
      <c r="H343" s="11" t="n">
        <f aca="false">IF(G343="Yes",1,0)</f>
        <v>1</v>
      </c>
    </row>
    <row r="344" customFormat="false" ht="15" hidden="false" customHeight="false" outlineLevel="0" collapsed="false">
      <c r="A344" s="10" t="n">
        <v>343</v>
      </c>
      <c r="B344" s="10" t="n">
        <v>56</v>
      </c>
      <c r="C344" s="10" t="s">
        <v>29</v>
      </c>
      <c r="D344" s="10" t="n">
        <v>17</v>
      </c>
      <c r="E344" s="11" t="str">
        <f aca="false">IF(B344&lt;50,"Low",IF(B344&lt;70,"Mid","High"))</f>
        <v>Mid</v>
      </c>
      <c r="F344" s="11" t="str">
        <f aca="false">IF(D344&lt;24,"Short","Long")</f>
        <v>Short</v>
      </c>
      <c r="G344" s="10" t="s">
        <v>28</v>
      </c>
      <c r="H344" s="11" t="n">
        <f aca="false">IF(G344="Yes",1,0)</f>
        <v>0</v>
      </c>
    </row>
    <row r="345" customFormat="false" ht="15" hidden="false" customHeight="false" outlineLevel="0" collapsed="false">
      <c r="A345" s="10" t="n">
        <v>344</v>
      </c>
      <c r="B345" s="10" t="n">
        <v>64</v>
      </c>
      <c r="C345" s="10" t="s">
        <v>27</v>
      </c>
      <c r="D345" s="10" t="n">
        <v>25</v>
      </c>
      <c r="E345" s="11" t="str">
        <f aca="false">IF(B345&lt;50,"Low",IF(B345&lt;70,"Mid","High"))</f>
        <v>Mid</v>
      </c>
      <c r="F345" s="11" t="str">
        <f aca="false">IF(D345&lt;24,"Short","Long")</f>
        <v>Long</v>
      </c>
      <c r="G345" s="10" t="s">
        <v>28</v>
      </c>
      <c r="H345" s="11" t="n">
        <f aca="false">IF(G345="Yes",1,0)</f>
        <v>0</v>
      </c>
    </row>
    <row r="346" customFormat="false" ht="15" hidden="false" customHeight="false" outlineLevel="0" collapsed="false">
      <c r="A346" s="10" t="n">
        <v>345</v>
      </c>
      <c r="B346" s="10" t="n">
        <v>66</v>
      </c>
      <c r="C346" s="10" t="s">
        <v>29</v>
      </c>
      <c r="D346" s="10" t="n">
        <v>7</v>
      </c>
      <c r="E346" s="11" t="str">
        <f aca="false">IF(B346&lt;50,"Low",IF(B346&lt;70,"Mid","High"))</f>
        <v>Mid</v>
      </c>
      <c r="F346" s="11" t="str">
        <f aca="false">IF(D346&lt;24,"Short","Long")</f>
        <v>Short</v>
      </c>
      <c r="G346" s="10" t="s">
        <v>30</v>
      </c>
      <c r="H346" s="11" t="n">
        <f aca="false">IF(G346="Yes",1,0)</f>
        <v>1</v>
      </c>
    </row>
    <row r="347" customFormat="false" ht="15" hidden="false" customHeight="false" outlineLevel="0" collapsed="false">
      <c r="A347" s="10" t="n">
        <v>346</v>
      </c>
      <c r="B347" s="10" t="n">
        <v>73</v>
      </c>
      <c r="C347" s="10" t="s">
        <v>29</v>
      </c>
      <c r="D347" s="10" t="n">
        <v>12</v>
      </c>
      <c r="E347" s="11" t="str">
        <f aca="false">IF(B347&lt;50,"Low",IF(B347&lt;70,"Mid","High"))</f>
        <v>High</v>
      </c>
      <c r="F347" s="11" t="str">
        <f aca="false">IF(D347&lt;24,"Short","Long")</f>
        <v>Short</v>
      </c>
      <c r="G347" s="10" t="s">
        <v>30</v>
      </c>
      <c r="H347" s="11" t="n">
        <f aca="false">IF(G347="Yes",1,0)</f>
        <v>1</v>
      </c>
    </row>
    <row r="348" customFormat="false" ht="15" hidden="false" customHeight="false" outlineLevel="0" collapsed="false">
      <c r="A348" s="10" t="n">
        <v>347</v>
      </c>
      <c r="B348" s="10" t="n">
        <v>54</v>
      </c>
      <c r="C348" s="10" t="s">
        <v>29</v>
      </c>
      <c r="D348" s="10" t="n">
        <v>5</v>
      </c>
      <c r="E348" s="11" t="str">
        <f aca="false">IF(B348&lt;50,"Low",IF(B348&lt;70,"Mid","High"))</f>
        <v>Mid</v>
      </c>
      <c r="F348" s="11" t="str">
        <f aca="false">IF(D348&lt;24,"Short","Long")</f>
        <v>Short</v>
      </c>
      <c r="G348" s="10" t="s">
        <v>28</v>
      </c>
      <c r="H348" s="11" t="n">
        <f aca="false">IF(G348="Yes",1,0)</f>
        <v>0</v>
      </c>
    </row>
    <row r="349" customFormat="false" ht="15" hidden="false" customHeight="false" outlineLevel="0" collapsed="false">
      <c r="A349" s="10" t="n">
        <v>348</v>
      </c>
      <c r="B349" s="10" t="n">
        <v>31</v>
      </c>
      <c r="C349" s="10" t="s">
        <v>29</v>
      </c>
      <c r="D349" s="10" t="n">
        <v>12</v>
      </c>
      <c r="E349" s="11" t="str">
        <f aca="false">IF(B349&lt;50,"Low",IF(B349&lt;70,"Mid","High"))</f>
        <v>Low</v>
      </c>
      <c r="F349" s="11" t="str">
        <f aca="false">IF(D349&lt;24,"Short","Long")</f>
        <v>Short</v>
      </c>
      <c r="G349" s="10" t="s">
        <v>28</v>
      </c>
      <c r="H349" s="11" t="n">
        <f aca="false">IF(G349="Yes",1,0)</f>
        <v>0</v>
      </c>
    </row>
    <row r="350" customFormat="false" ht="15" hidden="false" customHeight="false" outlineLevel="0" collapsed="false">
      <c r="A350" s="10" t="n">
        <v>349</v>
      </c>
      <c r="B350" s="10" t="n">
        <v>53</v>
      </c>
      <c r="C350" s="10" t="s">
        <v>27</v>
      </c>
      <c r="D350" s="10" t="n">
        <v>33</v>
      </c>
      <c r="E350" s="11" t="str">
        <f aca="false">IF(B350&lt;50,"Low",IF(B350&lt;70,"Mid","High"))</f>
        <v>Mid</v>
      </c>
      <c r="F350" s="11" t="str">
        <f aca="false">IF(D350&lt;24,"Short","Long")</f>
        <v>Long</v>
      </c>
      <c r="G350" s="10" t="s">
        <v>28</v>
      </c>
      <c r="H350" s="11" t="n">
        <f aca="false">IF(G350="Yes",1,0)</f>
        <v>0</v>
      </c>
    </row>
    <row r="351" customFormat="false" ht="15" hidden="false" customHeight="false" outlineLevel="0" collapsed="false">
      <c r="A351" s="10" t="n">
        <v>350</v>
      </c>
      <c r="B351" s="10" t="n">
        <v>73</v>
      </c>
      <c r="C351" s="10" t="s">
        <v>29</v>
      </c>
      <c r="D351" s="10" t="n">
        <v>6</v>
      </c>
      <c r="E351" s="11" t="str">
        <f aca="false">IF(B351&lt;50,"Low",IF(B351&lt;70,"Mid","High"))</f>
        <v>High</v>
      </c>
      <c r="F351" s="11" t="str">
        <f aca="false">IF(D351&lt;24,"Short","Long")</f>
        <v>Short</v>
      </c>
      <c r="G351" s="10" t="s">
        <v>30</v>
      </c>
      <c r="H351" s="11" t="n">
        <f aca="false">IF(G351="Yes",1,0)</f>
        <v>1</v>
      </c>
    </row>
    <row r="352" customFormat="false" ht="15" hidden="false" customHeight="false" outlineLevel="0" collapsed="false">
      <c r="A352" s="10" t="n">
        <v>351</v>
      </c>
      <c r="B352" s="10" t="n">
        <v>71</v>
      </c>
      <c r="C352" s="10" t="s">
        <v>29</v>
      </c>
      <c r="D352" s="10" t="n">
        <v>21</v>
      </c>
      <c r="E352" s="11" t="str">
        <f aca="false">IF(B352&lt;50,"Low",IF(B352&lt;70,"Mid","High"))</f>
        <v>High</v>
      </c>
      <c r="F352" s="11" t="str">
        <f aca="false">IF(D352&lt;24,"Short","Long")</f>
        <v>Short</v>
      </c>
      <c r="G352" s="10" t="s">
        <v>30</v>
      </c>
      <c r="H352" s="11" t="n">
        <f aca="false">IF(G352="Yes",1,0)</f>
        <v>1</v>
      </c>
    </row>
    <row r="353" customFormat="false" ht="15" hidden="false" customHeight="false" outlineLevel="0" collapsed="false">
      <c r="A353" s="10" t="n">
        <v>352</v>
      </c>
      <c r="B353" s="10" t="n">
        <v>31</v>
      </c>
      <c r="C353" s="10" t="s">
        <v>29</v>
      </c>
      <c r="D353" s="10" t="n">
        <v>7</v>
      </c>
      <c r="E353" s="11" t="str">
        <f aca="false">IF(B353&lt;50,"Low",IF(B353&lt;70,"Mid","High"))</f>
        <v>Low</v>
      </c>
      <c r="F353" s="11" t="str">
        <f aca="false">IF(D353&lt;24,"Short","Long")</f>
        <v>Short</v>
      </c>
      <c r="G353" s="10" t="s">
        <v>28</v>
      </c>
      <c r="H353" s="11" t="n">
        <f aca="false">IF(G353="Yes",1,0)</f>
        <v>0</v>
      </c>
    </row>
    <row r="354" customFormat="false" ht="15" hidden="false" customHeight="false" outlineLevel="0" collapsed="false">
      <c r="A354" s="10" t="n">
        <v>353</v>
      </c>
      <c r="B354" s="10" t="n">
        <v>45</v>
      </c>
      <c r="C354" s="10" t="s">
        <v>27</v>
      </c>
      <c r="D354" s="10" t="n">
        <v>22</v>
      </c>
      <c r="E354" s="11" t="str">
        <f aca="false">IF(B354&lt;50,"Low",IF(B354&lt;70,"Mid","High"))</f>
        <v>Low</v>
      </c>
      <c r="F354" s="11" t="str">
        <f aca="false">IF(D354&lt;24,"Short","Long")</f>
        <v>Short</v>
      </c>
      <c r="G354" s="10" t="s">
        <v>28</v>
      </c>
      <c r="H354" s="11" t="n">
        <f aca="false">IF(G354="Yes",1,0)</f>
        <v>0</v>
      </c>
    </row>
    <row r="355" customFormat="false" ht="15" hidden="false" customHeight="false" outlineLevel="0" collapsed="false">
      <c r="A355" s="10" t="n">
        <v>354</v>
      </c>
      <c r="B355" s="10" t="n">
        <v>45</v>
      </c>
      <c r="C355" s="10" t="s">
        <v>29</v>
      </c>
      <c r="D355" s="10" t="n">
        <v>7</v>
      </c>
      <c r="E355" s="11" t="str">
        <f aca="false">IF(B355&lt;50,"Low",IF(B355&lt;70,"Mid","High"))</f>
        <v>Low</v>
      </c>
      <c r="F355" s="11" t="str">
        <f aca="false">IF(D355&lt;24,"Short","Long")</f>
        <v>Short</v>
      </c>
      <c r="G355" s="10" t="s">
        <v>28</v>
      </c>
      <c r="H355" s="11" t="n">
        <f aca="false">IF(G355="Yes",1,0)</f>
        <v>0</v>
      </c>
    </row>
    <row r="356" customFormat="false" ht="15" hidden="false" customHeight="false" outlineLevel="0" collapsed="false">
      <c r="A356" s="10" t="n">
        <v>355</v>
      </c>
      <c r="B356" s="10" t="n">
        <v>73</v>
      </c>
      <c r="C356" s="10" t="s">
        <v>27</v>
      </c>
      <c r="D356" s="10" t="n">
        <v>24</v>
      </c>
      <c r="E356" s="11" t="str">
        <f aca="false">IF(B356&lt;50,"Low",IF(B356&lt;70,"Mid","High"))</f>
        <v>High</v>
      </c>
      <c r="F356" s="11" t="str">
        <f aca="false">IF(D356&lt;24,"Short","Long")</f>
        <v>Long</v>
      </c>
      <c r="G356" s="10" t="s">
        <v>30</v>
      </c>
      <c r="H356" s="11" t="n">
        <f aca="false">IF(G356="Yes",1,0)</f>
        <v>1</v>
      </c>
    </row>
    <row r="357" customFormat="false" ht="15" hidden="false" customHeight="false" outlineLevel="0" collapsed="false">
      <c r="A357" s="10" t="n">
        <v>356</v>
      </c>
      <c r="B357" s="10" t="n">
        <v>78</v>
      </c>
      <c r="C357" s="10" t="s">
        <v>27</v>
      </c>
      <c r="D357" s="10" t="n">
        <v>36</v>
      </c>
      <c r="E357" s="11" t="str">
        <f aca="false">IF(B357&lt;50,"Low",IF(B357&lt;70,"Mid","High"))</f>
        <v>High</v>
      </c>
      <c r="F357" s="11" t="str">
        <f aca="false">IF(D357&lt;24,"Short","Long")</f>
        <v>Long</v>
      </c>
      <c r="G357" s="10" t="s">
        <v>30</v>
      </c>
      <c r="H357" s="11" t="n">
        <f aca="false">IF(G357="Yes",1,0)</f>
        <v>1</v>
      </c>
    </row>
    <row r="358" customFormat="false" ht="15" hidden="false" customHeight="false" outlineLevel="0" collapsed="false">
      <c r="A358" s="10" t="n">
        <v>357</v>
      </c>
      <c r="B358" s="10" t="n">
        <v>38</v>
      </c>
      <c r="C358" s="10" t="s">
        <v>29</v>
      </c>
      <c r="D358" s="10" t="n">
        <v>20</v>
      </c>
      <c r="E358" s="11" t="str">
        <f aca="false">IF(B358&lt;50,"Low",IF(B358&lt;70,"Mid","High"))</f>
        <v>Low</v>
      </c>
      <c r="F358" s="11" t="str">
        <f aca="false">IF(D358&lt;24,"Short","Long")</f>
        <v>Short</v>
      </c>
      <c r="G358" s="10" t="s">
        <v>28</v>
      </c>
      <c r="H358" s="11" t="n">
        <f aca="false">IF(G358="Yes",1,0)</f>
        <v>0</v>
      </c>
    </row>
    <row r="359" customFormat="false" ht="15" hidden="false" customHeight="false" outlineLevel="0" collapsed="false">
      <c r="A359" s="10" t="n">
        <v>358</v>
      </c>
      <c r="B359" s="10" t="n">
        <v>73</v>
      </c>
      <c r="C359" s="10" t="s">
        <v>29</v>
      </c>
      <c r="D359" s="10" t="n">
        <v>14</v>
      </c>
      <c r="E359" s="11" t="str">
        <f aca="false">IF(B359&lt;50,"Low",IF(B359&lt;70,"Mid","High"))</f>
        <v>High</v>
      </c>
      <c r="F359" s="11" t="str">
        <f aca="false">IF(D359&lt;24,"Short","Long")</f>
        <v>Short</v>
      </c>
      <c r="G359" s="10" t="s">
        <v>30</v>
      </c>
      <c r="H359" s="11" t="n">
        <f aca="false">IF(G359="Yes",1,0)</f>
        <v>1</v>
      </c>
    </row>
    <row r="360" customFormat="false" ht="15" hidden="false" customHeight="false" outlineLevel="0" collapsed="false">
      <c r="A360" s="10" t="n">
        <v>359</v>
      </c>
      <c r="B360" s="10" t="n">
        <v>69</v>
      </c>
      <c r="C360" s="10" t="s">
        <v>29</v>
      </c>
      <c r="D360" s="10" t="n">
        <v>18</v>
      </c>
      <c r="E360" s="11" t="str">
        <f aca="false">IF(B360&lt;50,"Low",IF(B360&lt;70,"Mid","High"))</f>
        <v>Mid</v>
      </c>
      <c r="F360" s="11" t="str">
        <f aca="false">IF(D360&lt;24,"Short","Long")</f>
        <v>Short</v>
      </c>
      <c r="G360" s="10" t="s">
        <v>30</v>
      </c>
      <c r="H360" s="11" t="n">
        <f aca="false">IF(G360="Yes",1,0)</f>
        <v>1</v>
      </c>
    </row>
    <row r="361" customFormat="false" ht="15" hidden="false" customHeight="false" outlineLevel="0" collapsed="false">
      <c r="A361" s="10" t="n">
        <v>360</v>
      </c>
      <c r="B361" s="10" t="n">
        <v>46</v>
      </c>
      <c r="C361" s="10" t="s">
        <v>29</v>
      </c>
      <c r="D361" s="10" t="n">
        <v>12</v>
      </c>
      <c r="E361" s="11" t="str">
        <f aca="false">IF(B361&lt;50,"Low",IF(B361&lt;70,"Mid","High"))</f>
        <v>Low</v>
      </c>
      <c r="F361" s="11" t="str">
        <f aca="false">IF(D361&lt;24,"Short","Long")</f>
        <v>Short</v>
      </c>
      <c r="G361" s="10" t="s">
        <v>28</v>
      </c>
      <c r="H361" s="11" t="n">
        <f aca="false">IF(G361="Yes",1,0)</f>
        <v>0</v>
      </c>
    </row>
    <row r="362" customFormat="false" ht="15" hidden="false" customHeight="false" outlineLevel="0" collapsed="false">
      <c r="A362" s="10" t="n">
        <v>361</v>
      </c>
      <c r="B362" s="10" t="n">
        <v>59</v>
      </c>
      <c r="C362" s="10" t="s">
        <v>29</v>
      </c>
      <c r="D362" s="10" t="n">
        <v>20</v>
      </c>
      <c r="E362" s="11" t="str">
        <f aca="false">IF(B362&lt;50,"Low",IF(B362&lt;70,"Mid","High"))</f>
        <v>Mid</v>
      </c>
      <c r="F362" s="11" t="str">
        <f aca="false">IF(D362&lt;24,"Short","Long")</f>
        <v>Short</v>
      </c>
      <c r="G362" s="10" t="s">
        <v>28</v>
      </c>
      <c r="H362" s="11" t="n">
        <f aca="false">IF(G362="Yes",1,0)</f>
        <v>0</v>
      </c>
    </row>
    <row r="363" customFormat="false" ht="15" hidden="false" customHeight="false" outlineLevel="0" collapsed="false">
      <c r="A363" s="10" t="n">
        <v>362</v>
      </c>
      <c r="B363" s="10" t="n">
        <v>56</v>
      </c>
      <c r="C363" s="10" t="s">
        <v>29</v>
      </c>
      <c r="D363" s="10" t="n">
        <v>17</v>
      </c>
      <c r="E363" s="11" t="str">
        <f aca="false">IF(B363&lt;50,"Low",IF(B363&lt;70,"Mid","High"))</f>
        <v>Mid</v>
      </c>
      <c r="F363" s="11" t="str">
        <f aca="false">IF(D363&lt;24,"Short","Long")</f>
        <v>Short</v>
      </c>
      <c r="G363" s="10" t="s">
        <v>30</v>
      </c>
      <c r="H363" s="11" t="n">
        <f aca="false">IF(G363="Yes",1,0)</f>
        <v>1</v>
      </c>
    </row>
    <row r="364" customFormat="false" ht="15" hidden="false" customHeight="false" outlineLevel="0" collapsed="false">
      <c r="A364" s="10" t="n">
        <v>363</v>
      </c>
      <c r="B364" s="10" t="n">
        <v>45</v>
      </c>
      <c r="C364" s="10" t="s">
        <v>29</v>
      </c>
      <c r="D364" s="10" t="n">
        <v>18</v>
      </c>
      <c r="E364" s="11" t="str">
        <f aca="false">IF(B364&lt;50,"Low",IF(B364&lt;70,"Mid","High"))</f>
        <v>Low</v>
      </c>
      <c r="F364" s="11" t="str">
        <f aca="false">IF(D364&lt;24,"Short","Long")</f>
        <v>Short</v>
      </c>
      <c r="G364" s="10" t="s">
        <v>28</v>
      </c>
      <c r="H364" s="11" t="n">
        <f aca="false">IF(G364="Yes",1,0)</f>
        <v>0</v>
      </c>
    </row>
    <row r="365" customFormat="false" ht="15" hidden="false" customHeight="false" outlineLevel="0" collapsed="false">
      <c r="A365" s="10" t="n">
        <v>364</v>
      </c>
      <c r="B365" s="10" t="n">
        <v>53</v>
      </c>
      <c r="C365" s="10" t="s">
        <v>27</v>
      </c>
      <c r="D365" s="10" t="n">
        <v>30</v>
      </c>
      <c r="E365" s="11" t="str">
        <f aca="false">IF(B365&lt;50,"Low",IF(B365&lt;70,"Mid","High"))</f>
        <v>Mid</v>
      </c>
      <c r="F365" s="11" t="str">
        <f aca="false">IF(D365&lt;24,"Short","Long")</f>
        <v>Long</v>
      </c>
      <c r="G365" s="10" t="s">
        <v>28</v>
      </c>
      <c r="H365" s="11" t="n">
        <f aca="false">IF(G365="Yes",1,0)</f>
        <v>0</v>
      </c>
    </row>
    <row r="366" customFormat="false" ht="15" hidden="false" customHeight="false" outlineLevel="0" collapsed="false">
      <c r="A366" s="10" t="n">
        <v>365</v>
      </c>
      <c r="B366" s="10" t="n">
        <v>80</v>
      </c>
      <c r="C366" s="10" t="s">
        <v>27</v>
      </c>
      <c r="D366" s="10" t="n">
        <v>33</v>
      </c>
      <c r="E366" s="11" t="str">
        <f aca="false">IF(B366&lt;50,"Low",IF(B366&lt;70,"Mid","High"))</f>
        <v>High</v>
      </c>
      <c r="F366" s="11" t="str">
        <f aca="false">IF(D366&lt;24,"Short","Long")</f>
        <v>Long</v>
      </c>
      <c r="G366" s="10" t="s">
        <v>30</v>
      </c>
      <c r="H366" s="11" t="n">
        <f aca="false">IF(G366="Yes",1,0)</f>
        <v>1</v>
      </c>
    </row>
    <row r="367" customFormat="false" ht="15" hidden="false" customHeight="false" outlineLevel="0" collapsed="false">
      <c r="A367" s="10" t="n">
        <v>366</v>
      </c>
      <c r="B367" s="10" t="n">
        <v>51</v>
      </c>
      <c r="C367" s="10" t="s">
        <v>29</v>
      </c>
      <c r="D367" s="10" t="n">
        <v>13</v>
      </c>
      <c r="E367" s="11" t="str">
        <f aca="false">IF(B367&lt;50,"Low",IF(B367&lt;70,"Mid","High"))</f>
        <v>Mid</v>
      </c>
      <c r="F367" s="11" t="str">
        <f aca="false">IF(D367&lt;24,"Short","Long")</f>
        <v>Short</v>
      </c>
      <c r="G367" s="10" t="s">
        <v>28</v>
      </c>
      <c r="H367" s="11" t="n">
        <f aca="false">IF(G367="Yes",1,0)</f>
        <v>0</v>
      </c>
    </row>
    <row r="368" customFormat="false" ht="15" hidden="false" customHeight="false" outlineLevel="0" collapsed="false">
      <c r="A368" s="10" t="n">
        <v>367</v>
      </c>
      <c r="B368" s="10" t="n">
        <v>93</v>
      </c>
      <c r="C368" s="10" t="s">
        <v>29</v>
      </c>
      <c r="D368" s="10" t="n">
        <v>7</v>
      </c>
      <c r="E368" s="11" t="str">
        <f aca="false">IF(B368&lt;50,"Low",IF(B368&lt;70,"Mid","High"))</f>
        <v>High</v>
      </c>
      <c r="F368" s="11" t="str">
        <f aca="false">IF(D368&lt;24,"Short","Long")</f>
        <v>Short</v>
      </c>
      <c r="G368" s="10" t="s">
        <v>30</v>
      </c>
      <c r="H368" s="11" t="n">
        <f aca="false">IF(G368="Yes",1,0)</f>
        <v>1</v>
      </c>
    </row>
    <row r="369" customFormat="false" ht="15" hidden="false" customHeight="false" outlineLevel="0" collapsed="false">
      <c r="A369" s="10" t="n">
        <v>368</v>
      </c>
      <c r="B369" s="10" t="n">
        <v>63</v>
      </c>
      <c r="C369" s="10" t="s">
        <v>29</v>
      </c>
      <c r="D369" s="10" t="n">
        <v>11</v>
      </c>
      <c r="E369" s="11" t="str">
        <f aca="false">IF(B369&lt;50,"Low",IF(B369&lt;70,"Mid","High"))</f>
        <v>Mid</v>
      </c>
      <c r="F369" s="11" t="str">
        <f aca="false">IF(D369&lt;24,"Short","Long")</f>
        <v>Short</v>
      </c>
      <c r="G369" s="10" t="s">
        <v>30</v>
      </c>
      <c r="H369" s="11" t="n">
        <f aca="false">IF(G369="Yes",1,0)</f>
        <v>1</v>
      </c>
    </row>
    <row r="370" customFormat="false" ht="15" hidden="false" customHeight="false" outlineLevel="0" collapsed="false">
      <c r="A370" s="10" t="n">
        <v>369</v>
      </c>
      <c r="B370" s="10" t="n">
        <v>55</v>
      </c>
      <c r="C370" s="10" t="s">
        <v>27</v>
      </c>
      <c r="D370" s="10" t="n">
        <v>35</v>
      </c>
      <c r="E370" s="11" t="str">
        <f aca="false">IF(B370&lt;50,"Low",IF(B370&lt;70,"Mid","High"))</f>
        <v>Mid</v>
      </c>
      <c r="F370" s="11" t="str">
        <f aca="false">IF(D370&lt;24,"Short","Long")</f>
        <v>Long</v>
      </c>
      <c r="G370" s="10" t="s">
        <v>28</v>
      </c>
      <c r="H370" s="11" t="n">
        <f aca="false">IF(G370="Yes",1,0)</f>
        <v>0</v>
      </c>
    </row>
    <row r="371" customFormat="false" ht="15" hidden="false" customHeight="false" outlineLevel="0" collapsed="false">
      <c r="A371" s="10" t="n">
        <v>370</v>
      </c>
      <c r="B371" s="10" t="n">
        <v>77</v>
      </c>
      <c r="C371" s="10" t="s">
        <v>27</v>
      </c>
      <c r="D371" s="10" t="n">
        <v>47</v>
      </c>
      <c r="E371" s="11" t="str">
        <f aca="false">IF(B371&lt;50,"Low",IF(B371&lt;70,"Mid","High"))</f>
        <v>High</v>
      </c>
      <c r="F371" s="11" t="str">
        <f aca="false">IF(D371&lt;24,"Short","Long")</f>
        <v>Long</v>
      </c>
      <c r="G371" s="10" t="s">
        <v>28</v>
      </c>
      <c r="H371" s="11" t="n">
        <f aca="false">IF(G371="Yes",1,0)</f>
        <v>0</v>
      </c>
    </row>
    <row r="372" customFormat="false" ht="15" hidden="false" customHeight="false" outlineLevel="0" collapsed="false">
      <c r="A372" s="10" t="n">
        <v>371</v>
      </c>
      <c r="B372" s="10" t="n">
        <v>68</v>
      </c>
      <c r="C372" s="10" t="s">
        <v>29</v>
      </c>
      <c r="D372" s="10" t="n">
        <v>15</v>
      </c>
      <c r="E372" s="11" t="str">
        <f aca="false">IF(B372&lt;50,"Low",IF(B372&lt;70,"Mid","High"))</f>
        <v>Mid</v>
      </c>
      <c r="F372" s="11" t="str">
        <f aca="false">IF(D372&lt;24,"Short","Long")</f>
        <v>Short</v>
      </c>
      <c r="G372" s="10" t="s">
        <v>30</v>
      </c>
      <c r="H372" s="11" t="n">
        <f aca="false">IF(G372="Yes",1,0)</f>
        <v>1</v>
      </c>
    </row>
    <row r="373" customFormat="false" ht="15" hidden="false" customHeight="false" outlineLevel="0" collapsed="false">
      <c r="A373" s="10" t="n">
        <v>372</v>
      </c>
      <c r="B373" s="10" t="n">
        <v>58</v>
      </c>
      <c r="C373" s="10" t="s">
        <v>27</v>
      </c>
      <c r="D373" s="10" t="n">
        <v>25</v>
      </c>
      <c r="E373" s="11" t="str">
        <f aca="false">IF(B373&lt;50,"Low",IF(B373&lt;70,"Mid","High"))</f>
        <v>Mid</v>
      </c>
      <c r="F373" s="11" t="str">
        <f aca="false">IF(D373&lt;24,"Short","Long")</f>
        <v>Long</v>
      </c>
      <c r="G373" s="10" t="s">
        <v>28</v>
      </c>
      <c r="H373" s="11" t="n">
        <f aca="false">IF(G373="Yes",1,0)</f>
        <v>0</v>
      </c>
    </row>
    <row r="374" customFormat="false" ht="15" hidden="false" customHeight="false" outlineLevel="0" collapsed="false">
      <c r="A374" s="10" t="n">
        <v>373</v>
      </c>
      <c r="B374" s="10" t="n">
        <v>63</v>
      </c>
      <c r="C374" s="10" t="s">
        <v>27</v>
      </c>
      <c r="D374" s="10" t="n">
        <v>37</v>
      </c>
      <c r="E374" s="11" t="str">
        <f aca="false">IF(B374&lt;50,"Low",IF(B374&lt;70,"Mid","High"))</f>
        <v>Mid</v>
      </c>
      <c r="F374" s="11" t="str">
        <f aca="false">IF(D374&lt;24,"Short","Long")</f>
        <v>Long</v>
      </c>
      <c r="G374" s="10" t="s">
        <v>28</v>
      </c>
      <c r="H374" s="11" t="n">
        <f aca="false">IF(G374="Yes",1,0)</f>
        <v>0</v>
      </c>
    </row>
    <row r="375" customFormat="false" ht="15" hidden="false" customHeight="false" outlineLevel="0" collapsed="false">
      <c r="A375" s="10" t="n">
        <v>374</v>
      </c>
      <c r="B375" s="10" t="n">
        <v>43</v>
      </c>
      <c r="C375" s="10" t="s">
        <v>27</v>
      </c>
      <c r="D375" s="10" t="n">
        <v>34</v>
      </c>
      <c r="E375" s="11" t="str">
        <f aca="false">IF(B375&lt;50,"Low",IF(B375&lt;70,"Mid","High"))</f>
        <v>Low</v>
      </c>
      <c r="F375" s="11" t="str">
        <f aca="false">IF(D375&lt;24,"Short","Long")</f>
        <v>Long</v>
      </c>
      <c r="G375" s="10" t="s">
        <v>28</v>
      </c>
      <c r="H375" s="11" t="n">
        <f aca="false">IF(G375="Yes",1,0)</f>
        <v>0</v>
      </c>
    </row>
    <row r="376" customFormat="false" ht="15" hidden="false" customHeight="false" outlineLevel="0" collapsed="false">
      <c r="A376" s="10" t="n">
        <v>375</v>
      </c>
      <c r="B376" s="10" t="n">
        <v>41</v>
      </c>
      <c r="C376" s="10" t="s">
        <v>27</v>
      </c>
      <c r="D376" s="10" t="n">
        <v>33</v>
      </c>
      <c r="E376" s="11" t="str">
        <f aca="false">IF(B376&lt;50,"Low",IF(B376&lt;70,"Mid","High"))</f>
        <v>Low</v>
      </c>
      <c r="F376" s="11" t="str">
        <f aca="false">IF(D376&lt;24,"Short","Long")</f>
        <v>Long</v>
      </c>
      <c r="G376" s="10" t="s">
        <v>28</v>
      </c>
      <c r="H376" s="11" t="n">
        <f aca="false">IF(G376="Yes",1,0)</f>
        <v>0</v>
      </c>
    </row>
    <row r="377" customFormat="false" ht="15" hidden="false" customHeight="false" outlineLevel="0" collapsed="false">
      <c r="A377" s="10" t="n">
        <v>376</v>
      </c>
      <c r="B377" s="10" t="n">
        <v>67</v>
      </c>
      <c r="C377" s="10" t="s">
        <v>27</v>
      </c>
      <c r="D377" s="10" t="n">
        <v>37</v>
      </c>
      <c r="E377" s="11" t="str">
        <f aca="false">IF(B377&lt;50,"Low",IF(B377&lt;70,"Mid","High"))</f>
        <v>Mid</v>
      </c>
      <c r="F377" s="11" t="str">
        <f aca="false">IF(D377&lt;24,"Short","Long")</f>
        <v>Long</v>
      </c>
      <c r="G377" s="10" t="s">
        <v>28</v>
      </c>
      <c r="H377" s="11" t="n">
        <f aca="false">IF(G377="Yes",1,0)</f>
        <v>0</v>
      </c>
    </row>
    <row r="378" customFormat="false" ht="15" hidden="false" customHeight="false" outlineLevel="0" collapsed="false">
      <c r="A378" s="10" t="n">
        <v>377</v>
      </c>
      <c r="B378" s="10" t="n">
        <v>66</v>
      </c>
      <c r="C378" s="10" t="s">
        <v>29</v>
      </c>
      <c r="D378" s="10" t="n">
        <v>19</v>
      </c>
      <c r="E378" s="11" t="str">
        <f aca="false">IF(B378&lt;50,"Low",IF(B378&lt;70,"Mid","High"))</f>
        <v>Mid</v>
      </c>
      <c r="F378" s="11" t="str">
        <f aca="false">IF(D378&lt;24,"Short","Long")</f>
        <v>Short</v>
      </c>
      <c r="G378" s="10" t="s">
        <v>30</v>
      </c>
      <c r="H378" s="11" t="n">
        <f aca="false">IF(G378="Yes",1,0)</f>
        <v>1</v>
      </c>
    </row>
    <row r="379" customFormat="false" ht="15" hidden="false" customHeight="false" outlineLevel="0" collapsed="false">
      <c r="A379" s="10" t="n">
        <v>378</v>
      </c>
      <c r="B379" s="10" t="n">
        <v>56</v>
      </c>
      <c r="C379" s="10" t="s">
        <v>29</v>
      </c>
      <c r="D379" s="10" t="n">
        <v>13</v>
      </c>
      <c r="E379" s="11" t="str">
        <f aca="false">IF(B379&lt;50,"Low",IF(B379&lt;70,"Mid","High"))</f>
        <v>Mid</v>
      </c>
      <c r="F379" s="11" t="str">
        <f aca="false">IF(D379&lt;24,"Short","Long")</f>
        <v>Short</v>
      </c>
      <c r="G379" s="10" t="s">
        <v>28</v>
      </c>
      <c r="H379" s="11" t="n">
        <f aca="false">IF(G379="Yes",1,0)</f>
        <v>0</v>
      </c>
    </row>
    <row r="380" customFormat="false" ht="15" hidden="false" customHeight="false" outlineLevel="0" collapsed="false">
      <c r="A380" s="10" t="n">
        <v>379</v>
      </c>
      <c r="B380" s="10" t="n">
        <v>58</v>
      </c>
      <c r="C380" s="10" t="s">
        <v>27</v>
      </c>
      <c r="D380" s="10" t="n">
        <v>36</v>
      </c>
      <c r="E380" s="11" t="str">
        <f aca="false">IF(B380&lt;50,"Low",IF(B380&lt;70,"Mid","High"))</f>
        <v>Mid</v>
      </c>
      <c r="F380" s="11" t="str">
        <f aca="false">IF(D380&lt;24,"Short","Long")</f>
        <v>Long</v>
      </c>
      <c r="G380" s="10" t="s">
        <v>28</v>
      </c>
      <c r="H380" s="11" t="n">
        <f aca="false">IF(G380="Yes",1,0)</f>
        <v>0</v>
      </c>
    </row>
    <row r="381" customFormat="false" ht="15" hidden="false" customHeight="false" outlineLevel="0" collapsed="false">
      <c r="A381" s="10" t="n">
        <v>380</v>
      </c>
      <c r="B381" s="10" t="n">
        <v>78</v>
      </c>
      <c r="C381" s="10" t="s">
        <v>27</v>
      </c>
      <c r="D381" s="10" t="n">
        <v>26</v>
      </c>
      <c r="E381" s="11" t="str">
        <f aca="false">IF(B381&lt;50,"Low",IF(B381&lt;70,"Mid","High"))</f>
        <v>High</v>
      </c>
      <c r="F381" s="11" t="str">
        <f aca="false">IF(D381&lt;24,"Short","Long")</f>
        <v>Long</v>
      </c>
      <c r="G381" s="10" t="s">
        <v>28</v>
      </c>
      <c r="H381" s="11" t="n">
        <f aca="false">IF(G381="Yes",1,0)</f>
        <v>0</v>
      </c>
    </row>
    <row r="382" customFormat="false" ht="15" hidden="false" customHeight="false" outlineLevel="0" collapsed="false">
      <c r="A382" s="10" t="n">
        <v>381</v>
      </c>
      <c r="B382" s="10" t="n">
        <v>74</v>
      </c>
      <c r="C382" s="10" t="s">
        <v>27</v>
      </c>
      <c r="D382" s="10" t="n">
        <v>28</v>
      </c>
      <c r="E382" s="11" t="str">
        <f aca="false">IF(B382&lt;50,"Low",IF(B382&lt;70,"Mid","High"))</f>
        <v>High</v>
      </c>
      <c r="F382" s="11" t="str">
        <f aca="false">IF(D382&lt;24,"Short","Long")</f>
        <v>Long</v>
      </c>
      <c r="G382" s="10" t="s">
        <v>30</v>
      </c>
      <c r="H382" s="11" t="n">
        <f aca="false">IF(G382="Yes",1,0)</f>
        <v>1</v>
      </c>
    </row>
    <row r="383" customFormat="false" ht="15" hidden="false" customHeight="false" outlineLevel="0" collapsed="false">
      <c r="A383" s="10" t="n">
        <v>382</v>
      </c>
      <c r="B383" s="10" t="n">
        <v>61</v>
      </c>
      <c r="C383" s="10" t="s">
        <v>29</v>
      </c>
      <c r="D383" s="10" t="n">
        <v>23</v>
      </c>
      <c r="E383" s="11" t="str">
        <f aca="false">IF(B383&lt;50,"Low",IF(B383&lt;70,"Mid","High"))</f>
        <v>Mid</v>
      </c>
      <c r="F383" s="11" t="str">
        <f aca="false">IF(D383&lt;24,"Short","Long")</f>
        <v>Short</v>
      </c>
      <c r="G383" s="10" t="s">
        <v>28</v>
      </c>
      <c r="H383" s="11" t="n">
        <f aca="false">IF(G383="Yes",1,0)</f>
        <v>0</v>
      </c>
    </row>
    <row r="384" customFormat="false" ht="15" hidden="false" customHeight="false" outlineLevel="0" collapsed="false">
      <c r="A384" s="10" t="n">
        <v>383</v>
      </c>
      <c r="B384" s="10" t="n">
        <v>66</v>
      </c>
      <c r="C384" s="10" t="s">
        <v>29</v>
      </c>
      <c r="D384" s="10" t="n">
        <v>5</v>
      </c>
      <c r="E384" s="11" t="str">
        <f aca="false">IF(B384&lt;50,"Low",IF(B384&lt;70,"Mid","High"))</f>
        <v>Mid</v>
      </c>
      <c r="F384" s="11" t="str">
        <f aca="false">IF(D384&lt;24,"Short","Long")</f>
        <v>Short</v>
      </c>
      <c r="G384" s="10" t="s">
        <v>30</v>
      </c>
      <c r="H384" s="11" t="n">
        <f aca="false">IF(G384="Yes",1,0)</f>
        <v>1</v>
      </c>
    </row>
    <row r="385" customFormat="false" ht="15" hidden="false" customHeight="false" outlineLevel="0" collapsed="false">
      <c r="A385" s="10" t="n">
        <v>384</v>
      </c>
      <c r="B385" s="10" t="n">
        <v>52</v>
      </c>
      <c r="C385" s="10" t="s">
        <v>29</v>
      </c>
      <c r="D385" s="10" t="n">
        <v>15</v>
      </c>
      <c r="E385" s="11" t="str">
        <f aca="false">IF(B385&lt;50,"Low",IF(B385&lt;70,"Mid","High"))</f>
        <v>Mid</v>
      </c>
      <c r="F385" s="11" t="str">
        <f aca="false">IF(D385&lt;24,"Short","Long")</f>
        <v>Short</v>
      </c>
      <c r="G385" s="10" t="s">
        <v>28</v>
      </c>
      <c r="H385" s="11" t="n">
        <f aca="false">IF(G385="Yes",1,0)</f>
        <v>0</v>
      </c>
    </row>
    <row r="386" customFormat="false" ht="15" hidden="false" customHeight="false" outlineLevel="0" collapsed="false">
      <c r="A386" s="10" t="n">
        <v>385</v>
      </c>
      <c r="B386" s="10" t="n">
        <v>61</v>
      </c>
      <c r="C386" s="10" t="s">
        <v>29</v>
      </c>
      <c r="D386" s="10" t="n">
        <v>16</v>
      </c>
      <c r="E386" s="11" t="str">
        <f aca="false">IF(B386&lt;50,"Low",IF(B386&lt;70,"Mid","High"))</f>
        <v>Mid</v>
      </c>
      <c r="F386" s="11" t="str">
        <f aca="false">IF(D386&lt;24,"Short","Long")</f>
        <v>Short</v>
      </c>
      <c r="G386" s="10" t="s">
        <v>28</v>
      </c>
      <c r="H386" s="11" t="n">
        <f aca="false">IF(G386="Yes",1,0)</f>
        <v>0</v>
      </c>
    </row>
    <row r="387" customFormat="false" ht="15" hidden="false" customHeight="false" outlineLevel="0" collapsed="false">
      <c r="A387" s="10" t="n">
        <v>386</v>
      </c>
      <c r="B387" s="10" t="n">
        <v>78</v>
      </c>
      <c r="C387" s="10" t="s">
        <v>29</v>
      </c>
      <c r="D387" s="10" t="n">
        <v>8</v>
      </c>
      <c r="E387" s="11" t="str">
        <f aca="false">IF(B387&lt;50,"Low",IF(B387&lt;70,"Mid","High"))</f>
        <v>High</v>
      </c>
      <c r="F387" s="11" t="str">
        <f aca="false">IF(D387&lt;24,"Short","Long")</f>
        <v>Short</v>
      </c>
      <c r="G387" s="10" t="s">
        <v>30</v>
      </c>
      <c r="H387" s="11" t="n">
        <f aca="false">IF(G387="Yes",1,0)</f>
        <v>1</v>
      </c>
    </row>
    <row r="388" customFormat="false" ht="15" hidden="false" customHeight="false" outlineLevel="0" collapsed="false">
      <c r="A388" s="10" t="n">
        <v>387</v>
      </c>
      <c r="B388" s="10" t="n">
        <v>60</v>
      </c>
      <c r="C388" s="10" t="s">
        <v>29</v>
      </c>
      <c r="D388" s="10" t="n">
        <v>18</v>
      </c>
      <c r="E388" s="11" t="str">
        <f aca="false">IF(B388&lt;50,"Low",IF(B388&lt;70,"Mid","High"))</f>
        <v>Mid</v>
      </c>
      <c r="F388" s="11" t="str">
        <f aca="false">IF(D388&lt;24,"Short","Long")</f>
        <v>Short</v>
      </c>
      <c r="G388" s="10" t="s">
        <v>28</v>
      </c>
      <c r="H388" s="11" t="n">
        <f aca="false">IF(G388="Yes",1,0)</f>
        <v>0</v>
      </c>
    </row>
    <row r="389" customFormat="false" ht="15" hidden="false" customHeight="false" outlineLevel="0" collapsed="false">
      <c r="A389" s="10" t="n">
        <v>388</v>
      </c>
      <c r="B389" s="10" t="n">
        <v>28</v>
      </c>
      <c r="C389" s="10" t="s">
        <v>29</v>
      </c>
      <c r="D389" s="10" t="n">
        <v>19</v>
      </c>
      <c r="E389" s="11" t="str">
        <f aca="false">IF(B389&lt;50,"Low",IF(B389&lt;70,"Mid","High"))</f>
        <v>Low</v>
      </c>
      <c r="F389" s="11" t="str">
        <f aca="false">IF(D389&lt;24,"Short","Long")</f>
        <v>Short</v>
      </c>
      <c r="G389" s="10" t="s">
        <v>28</v>
      </c>
      <c r="H389" s="11" t="n">
        <f aca="false">IF(G389="Yes",1,0)</f>
        <v>0</v>
      </c>
    </row>
    <row r="390" customFormat="false" ht="15" hidden="false" customHeight="false" outlineLevel="0" collapsed="false">
      <c r="A390" s="10" t="n">
        <v>389</v>
      </c>
      <c r="B390" s="10" t="n">
        <v>55</v>
      </c>
      <c r="C390" s="10" t="s">
        <v>27</v>
      </c>
      <c r="D390" s="10" t="n">
        <v>46</v>
      </c>
      <c r="E390" s="11" t="str">
        <f aca="false">IF(B390&lt;50,"Low",IF(B390&lt;70,"Mid","High"))</f>
        <v>Mid</v>
      </c>
      <c r="F390" s="11" t="str">
        <f aca="false">IF(D390&lt;24,"Short","Long")</f>
        <v>Long</v>
      </c>
      <c r="G390" s="10" t="s">
        <v>28</v>
      </c>
      <c r="H390" s="11" t="n">
        <f aca="false">IF(G390="Yes",1,0)</f>
        <v>0</v>
      </c>
    </row>
    <row r="391" customFormat="false" ht="15" hidden="false" customHeight="false" outlineLevel="0" collapsed="false">
      <c r="A391" s="10" t="n">
        <v>390</v>
      </c>
      <c r="B391" s="10" t="n">
        <v>62</v>
      </c>
      <c r="C391" s="10" t="s">
        <v>27</v>
      </c>
      <c r="D391" s="10" t="n">
        <v>39</v>
      </c>
      <c r="E391" s="11" t="str">
        <f aca="false">IF(B391&lt;50,"Low",IF(B391&lt;70,"Mid","High"))</f>
        <v>Mid</v>
      </c>
      <c r="F391" s="11" t="str">
        <f aca="false">IF(D391&lt;24,"Short","Long")</f>
        <v>Long</v>
      </c>
      <c r="G391" s="10" t="s">
        <v>28</v>
      </c>
      <c r="H391" s="11" t="n">
        <f aca="false">IF(G391="Yes",1,0)</f>
        <v>0</v>
      </c>
    </row>
    <row r="392" customFormat="false" ht="15" hidden="false" customHeight="false" outlineLevel="0" collapsed="false">
      <c r="A392" s="10" t="n">
        <v>391</v>
      </c>
      <c r="B392" s="10" t="n">
        <v>81</v>
      </c>
      <c r="C392" s="10" t="s">
        <v>27</v>
      </c>
      <c r="D392" s="10" t="n">
        <v>36</v>
      </c>
      <c r="E392" s="11" t="str">
        <f aca="false">IF(B392&lt;50,"Low",IF(B392&lt;70,"Mid","High"))</f>
        <v>High</v>
      </c>
      <c r="F392" s="11" t="str">
        <f aca="false">IF(D392&lt;24,"Short","Long")</f>
        <v>Long</v>
      </c>
      <c r="G392" s="10" t="s">
        <v>30</v>
      </c>
      <c r="H392" s="11" t="n">
        <f aca="false">IF(G392="Yes",1,0)</f>
        <v>1</v>
      </c>
    </row>
    <row r="393" customFormat="false" ht="15" hidden="false" customHeight="false" outlineLevel="0" collapsed="false">
      <c r="A393" s="10" t="n">
        <v>392</v>
      </c>
      <c r="B393" s="10" t="n">
        <v>53</v>
      </c>
      <c r="C393" s="10" t="s">
        <v>27</v>
      </c>
      <c r="D393" s="10" t="n">
        <v>37</v>
      </c>
      <c r="E393" s="11" t="str">
        <f aca="false">IF(B393&lt;50,"Low",IF(B393&lt;70,"Mid","High"))</f>
        <v>Mid</v>
      </c>
      <c r="F393" s="11" t="str">
        <f aca="false">IF(D393&lt;24,"Short","Long")</f>
        <v>Long</v>
      </c>
      <c r="G393" s="10" t="s">
        <v>28</v>
      </c>
      <c r="H393" s="11" t="n">
        <f aca="false">IF(G393="Yes",1,0)</f>
        <v>0</v>
      </c>
    </row>
    <row r="394" customFormat="false" ht="15" hidden="false" customHeight="false" outlineLevel="0" collapsed="false">
      <c r="A394" s="10" t="n">
        <v>393</v>
      </c>
      <c r="B394" s="10" t="n">
        <v>45</v>
      </c>
      <c r="C394" s="10" t="s">
        <v>27</v>
      </c>
      <c r="D394" s="10" t="n">
        <v>26</v>
      </c>
      <c r="E394" s="11" t="str">
        <f aca="false">IF(B394&lt;50,"Low",IF(B394&lt;70,"Mid","High"))</f>
        <v>Low</v>
      </c>
      <c r="F394" s="11" t="str">
        <f aca="false">IF(D394&lt;24,"Short","Long")</f>
        <v>Long</v>
      </c>
      <c r="G394" s="10" t="s">
        <v>30</v>
      </c>
      <c r="H394" s="11" t="n">
        <f aca="false">IF(G394="Yes",1,0)</f>
        <v>1</v>
      </c>
    </row>
    <row r="395" customFormat="false" ht="15" hidden="false" customHeight="false" outlineLevel="0" collapsed="false">
      <c r="A395" s="10" t="n">
        <v>394</v>
      </c>
      <c r="B395" s="10" t="n">
        <v>64</v>
      </c>
      <c r="C395" s="10" t="s">
        <v>29</v>
      </c>
      <c r="D395" s="10" t="n">
        <v>18</v>
      </c>
      <c r="E395" s="11" t="str">
        <f aca="false">IF(B395&lt;50,"Low",IF(B395&lt;70,"Mid","High"))</f>
        <v>Mid</v>
      </c>
      <c r="F395" s="11" t="str">
        <f aca="false">IF(D395&lt;24,"Short","Long")</f>
        <v>Short</v>
      </c>
      <c r="G395" s="10" t="s">
        <v>30</v>
      </c>
      <c r="H395" s="11" t="n">
        <f aca="false">IF(G395="Yes",1,0)</f>
        <v>1</v>
      </c>
    </row>
    <row r="396" customFormat="false" ht="15" hidden="false" customHeight="false" outlineLevel="0" collapsed="false">
      <c r="A396" s="10" t="n">
        <v>395</v>
      </c>
      <c r="B396" s="10" t="n">
        <v>54</v>
      </c>
      <c r="C396" s="10" t="s">
        <v>29</v>
      </c>
      <c r="D396" s="10" t="n">
        <v>15</v>
      </c>
      <c r="E396" s="11" t="str">
        <f aca="false">IF(B396&lt;50,"Low",IF(B396&lt;70,"Mid","High"))</f>
        <v>Mid</v>
      </c>
      <c r="F396" s="11" t="str">
        <f aca="false">IF(D396&lt;24,"Short","Long")</f>
        <v>Short</v>
      </c>
      <c r="G396" s="10" t="s">
        <v>30</v>
      </c>
      <c r="H396" s="11" t="n">
        <f aca="false">IF(G396="Yes",1,0)</f>
        <v>1</v>
      </c>
    </row>
    <row r="397" customFormat="false" ht="15" hidden="false" customHeight="false" outlineLevel="0" collapsed="false">
      <c r="A397" s="10" t="n">
        <v>396</v>
      </c>
      <c r="B397" s="10" t="n">
        <v>60</v>
      </c>
      <c r="C397" s="10" t="s">
        <v>29</v>
      </c>
      <c r="D397" s="10" t="n">
        <v>17</v>
      </c>
      <c r="E397" s="11" t="str">
        <f aca="false">IF(B397&lt;50,"Low",IF(B397&lt;70,"Mid","High"))</f>
        <v>Mid</v>
      </c>
      <c r="F397" s="11" t="str">
        <f aca="false">IF(D397&lt;24,"Short","Long")</f>
        <v>Short</v>
      </c>
      <c r="G397" s="10" t="s">
        <v>28</v>
      </c>
      <c r="H397" s="11" t="n">
        <f aca="false">IF(G397="Yes",1,0)</f>
        <v>0</v>
      </c>
    </row>
    <row r="398" customFormat="false" ht="15" hidden="false" customHeight="false" outlineLevel="0" collapsed="false">
      <c r="A398" s="10" t="n">
        <v>397</v>
      </c>
      <c r="B398" s="10" t="n">
        <v>83</v>
      </c>
      <c r="C398" s="10" t="s">
        <v>29</v>
      </c>
      <c r="D398" s="10" t="n">
        <v>18</v>
      </c>
      <c r="E398" s="11" t="str">
        <f aca="false">IF(B398&lt;50,"Low",IF(B398&lt;70,"Mid","High"))</f>
        <v>High</v>
      </c>
      <c r="F398" s="11" t="str">
        <f aca="false">IF(D398&lt;24,"Short","Long")</f>
        <v>Short</v>
      </c>
      <c r="G398" s="10" t="s">
        <v>30</v>
      </c>
      <c r="H398" s="11" t="n">
        <f aca="false">IF(G398="Yes",1,0)</f>
        <v>1</v>
      </c>
    </row>
    <row r="399" customFormat="false" ht="15" hidden="false" customHeight="false" outlineLevel="0" collapsed="false">
      <c r="A399" s="10" t="n">
        <v>398</v>
      </c>
      <c r="B399" s="10" t="n">
        <v>50</v>
      </c>
      <c r="C399" s="10" t="s">
        <v>29</v>
      </c>
      <c r="D399" s="10" t="n">
        <v>13</v>
      </c>
      <c r="E399" s="11" t="str">
        <f aca="false">IF(B399&lt;50,"Low",IF(B399&lt;70,"Mid","High"))</f>
        <v>Mid</v>
      </c>
      <c r="F399" s="11" t="str">
        <f aca="false">IF(D399&lt;24,"Short","Long")</f>
        <v>Short</v>
      </c>
      <c r="G399" s="10" t="s">
        <v>28</v>
      </c>
      <c r="H399" s="11" t="n">
        <f aca="false">IF(G399="Yes",1,0)</f>
        <v>0</v>
      </c>
    </row>
    <row r="400" customFormat="false" ht="15" hidden="false" customHeight="false" outlineLevel="0" collapsed="false">
      <c r="A400" s="10" t="n">
        <v>399</v>
      </c>
      <c r="B400" s="10" t="n">
        <v>51</v>
      </c>
      <c r="C400" s="10" t="s">
        <v>27</v>
      </c>
      <c r="D400" s="10" t="n">
        <v>34</v>
      </c>
      <c r="E400" s="11" t="str">
        <f aca="false">IF(B400&lt;50,"Low",IF(B400&lt;70,"Mid","High"))</f>
        <v>Mid</v>
      </c>
      <c r="F400" s="11" t="str">
        <f aca="false">IF(D400&lt;24,"Short","Long")</f>
        <v>Long</v>
      </c>
      <c r="G400" s="10" t="s">
        <v>28</v>
      </c>
      <c r="H400" s="11" t="n">
        <f aca="false">IF(G400="Yes",1,0)</f>
        <v>0</v>
      </c>
    </row>
    <row r="401" customFormat="false" ht="15" hidden="false" customHeight="false" outlineLevel="0" collapsed="false">
      <c r="A401" s="10" t="n">
        <v>400</v>
      </c>
      <c r="B401" s="10" t="n">
        <v>57</v>
      </c>
      <c r="C401" s="10" t="s">
        <v>27</v>
      </c>
      <c r="D401" s="10" t="n">
        <v>22</v>
      </c>
      <c r="E401" s="11" t="str">
        <f aca="false">IF(B401&lt;50,"Low",IF(B401&lt;70,"Mid","High"))</f>
        <v>Mid</v>
      </c>
      <c r="F401" s="11" t="str">
        <f aca="false">IF(D401&lt;24,"Short","Long")</f>
        <v>Short</v>
      </c>
      <c r="G401" s="10" t="s">
        <v>28</v>
      </c>
      <c r="H401" s="11" t="n">
        <f aca="false">IF(G401="Yes",1,0)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8"/>
    <col collapsed="false" customWidth="true" hidden="false" outlineLevel="0" max="4" min="4" style="0" width="14"/>
    <col collapsed="false" customWidth="true" hidden="false" outlineLevel="0" max="5" min="5" style="0" width="11"/>
    <col collapsed="false" customWidth="true" hidden="false" outlineLevel="0" max="6" min="6" style="0" width="13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1" min="11" style="0" width="16"/>
    <col collapsed="false" customWidth="true" hidden="false" outlineLevel="0" max="12" min="12" style="0" width="14"/>
  </cols>
  <sheetData>
    <row r="1" customFormat="false" ht="60" hidden="false" customHeight="true" outlineLevel="0" collapsed="false">
      <c r="A1" s="8" t="s">
        <v>18</v>
      </c>
      <c r="B1" s="8" t="s">
        <v>31</v>
      </c>
      <c r="C1" s="8" t="s">
        <v>20</v>
      </c>
      <c r="D1" s="8" t="s">
        <v>21</v>
      </c>
      <c r="E1" s="8" t="s">
        <v>22</v>
      </c>
      <c r="F1" s="8" t="s">
        <v>23</v>
      </c>
      <c r="G1" s="8" t="s">
        <v>32</v>
      </c>
      <c r="H1" s="8" t="s">
        <v>33</v>
      </c>
      <c r="I1" s="8" t="s">
        <v>34</v>
      </c>
      <c r="J1" s="8" t="s">
        <v>35</v>
      </c>
      <c r="K1" s="8" t="s">
        <v>36</v>
      </c>
      <c r="L1" s="8" t="s">
        <v>37</v>
      </c>
    </row>
    <row r="2" customFormat="false" ht="15" hidden="false" customHeight="false" outlineLevel="0" collapsed="false">
      <c r="A2" s="10" t="n">
        <v>1</v>
      </c>
      <c r="B2" s="10" t="n">
        <v>49</v>
      </c>
      <c r="C2" s="10" t="s">
        <v>29</v>
      </c>
      <c r="D2" s="10" t="n">
        <v>17</v>
      </c>
      <c r="E2" s="11" t="str">
        <f aca="false">IF(B2&lt;50,"Low",IF(B2&lt;70,"Mid","High"))</f>
        <v>Low</v>
      </c>
      <c r="F2" s="11" t="str">
        <f aca="false">IF(D2&lt;24,"Short","Long")</f>
        <v>Short</v>
      </c>
      <c r="G2" s="12" t="n">
        <f aca="false">IFERROR(AVERAGEIFS(History!$H$2:$H$401,History!$E$2:$E$401,E2,History!$C$2:$C$401,C2),"")</f>
        <v>0.0789473684210526</v>
      </c>
      <c r="H2" s="11" t="str">
        <f aca="false">IF(G2="","",IF(G2&gt;=0.5,"Yes","No"))</f>
        <v>No</v>
      </c>
      <c r="I2" s="12" t="n">
        <f aca="false">IFERROR(AVERAGEIFS(History!$H$2:$H$401,History!$E$2:$E$401,E2,History!$F$2:$F$401,F2),"")</f>
        <v>0.0909090909090909</v>
      </c>
      <c r="J2" s="11" t="str">
        <f aca="false">IF(I2="","",IF(I2&gt;=0.5,"Yes","No"))</f>
        <v>No</v>
      </c>
      <c r="K2" s="12" t="n">
        <f aca="false">IFERROR(AVERAGEIFS(History!$H$2:$H$401,History!$E$2:$E$401,E2),"")</f>
        <v>0.0769230769230769</v>
      </c>
      <c r="L2" s="11" t="str">
        <f aca="false">IF(K2="","",IF(K2&gt;=0.5,"Yes","No"))</f>
        <v>No</v>
      </c>
    </row>
    <row r="3" customFormat="false" ht="15" hidden="false" customHeight="false" outlineLevel="0" collapsed="false">
      <c r="A3" s="10" t="n">
        <v>2</v>
      </c>
      <c r="B3" s="10" t="n">
        <v>63</v>
      </c>
      <c r="C3" s="10" t="s">
        <v>29</v>
      </c>
      <c r="D3" s="10" t="n">
        <v>11</v>
      </c>
      <c r="E3" s="11" t="str">
        <f aca="false">IF(B3&lt;50,"Low",IF(B3&lt;70,"Mid","High"))</f>
        <v>Mid</v>
      </c>
      <c r="F3" s="11" t="str">
        <f aca="false">IF(D3&lt;24,"Short","Long")</f>
        <v>Short</v>
      </c>
      <c r="G3" s="12" t="n">
        <f aca="false">IFERROR(AVERAGEIFS(History!$H$2:$H$401,History!$E$2:$E$401,E3,History!$C$2:$C$401,C3),"")</f>
        <v>0.548387096774194</v>
      </c>
      <c r="H3" s="11" t="str">
        <f aca="false">IF(G3="","",IF(G3&gt;=0.5,"Yes","No"))</f>
        <v>Yes</v>
      </c>
      <c r="I3" s="12" t="n">
        <f aca="false">IFERROR(AVERAGEIFS(History!$H$2:$H$401,History!$E$2:$E$401,E3,History!$F$2:$F$401,F3),"")</f>
        <v>0.507575757575758</v>
      </c>
      <c r="J3" s="11" t="str">
        <f aca="false">IF(I3="","",IF(I3&gt;=0.5,"Yes","No"))</f>
        <v>Yes</v>
      </c>
      <c r="K3" s="12" t="n">
        <f aca="false">IFERROR(AVERAGEIFS(History!$H$2:$H$401,History!$E$2:$E$401,E3),"")</f>
        <v>0.34070796460177</v>
      </c>
      <c r="L3" s="11" t="str">
        <f aca="false">IF(K3="","",IF(K3&gt;=0.5,"Yes","No"))</f>
        <v>No</v>
      </c>
    </row>
    <row r="4" customFormat="false" ht="15" hidden="false" customHeight="false" outlineLevel="0" collapsed="false">
      <c r="A4" s="10" t="n">
        <v>3</v>
      </c>
      <c r="B4" s="10" t="n">
        <v>74</v>
      </c>
      <c r="C4" s="10" t="s">
        <v>29</v>
      </c>
      <c r="D4" s="10" t="n">
        <v>8</v>
      </c>
      <c r="E4" s="11" t="str">
        <f aca="false">IF(B4&lt;50,"Low",IF(B4&lt;70,"Mid","High"))</f>
        <v>High</v>
      </c>
      <c r="F4" s="11" t="str">
        <f aca="false">IF(D4&lt;24,"Short","Long")</f>
        <v>Short</v>
      </c>
      <c r="G4" s="12" t="n">
        <f aca="false">IFERROR(AVERAGEIFS(History!$H$2:$H$401,History!$E$2:$E$401,E4,History!$C$2:$C$401,C4),"")</f>
        <v>0.836734693877551</v>
      </c>
      <c r="H4" s="11" t="str">
        <f aca="false">IF(G4="","",IF(G4&gt;=0.5,"Yes","No"))</f>
        <v>Yes</v>
      </c>
      <c r="I4" s="12" t="n">
        <f aca="false">IFERROR(AVERAGEIFS(History!$H$2:$H$401,History!$E$2:$E$401,E4,History!$F$2:$F$401,F4),"")</f>
        <v>0.833333333333333</v>
      </c>
      <c r="J4" s="11" t="str">
        <f aca="false">IF(I4="","",IF(I4&gt;=0.5,"Yes","No"))</f>
        <v>Yes</v>
      </c>
      <c r="K4" s="12" t="n">
        <f aca="false">IFERROR(AVERAGEIFS(History!$H$2:$H$401,History!$E$2:$E$401,E4),"")</f>
        <v>0.739583333333333</v>
      </c>
      <c r="L4" s="11" t="str">
        <f aca="false">IF(K4="","",IF(K4&gt;=0.5,"Yes","No"))</f>
        <v>Yes</v>
      </c>
    </row>
    <row r="5" customFormat="false" ht="15" hidden="false" customHeight="false" outlineLevel="0" collapsed="false">
      <c r="A5" s="10" t="n">
        <v>4</v>
      </c>
      <c r="B5" s="10" t="n">
        <v>64</v>
      </c>
      <c r="C5" s="10" t="s">
        <v>29</v>
      </c>
      <c r="D5" s="10" t="n">
        <v>6</v>
      </c>
      <c r="E5" s="11" t="str">
        <f aca="false">IF(B5&lt;50,"Low",IF(B5&lt;70,"Mid","High"))</f>
        <v>Mid</v>
      </c>
      <c r="F5" s="11" t="str">
        <f aca="false">IF(D5&lt;24,"Short","Long")</f>
        <v>Short</v>
      </c>
      <c r="G5" s="12" t="n">
        <f aca="false">IFERROR(AVERAGEIFS(History!$H$2:$H$401,History!$E$2:$E$401,E5,History!$C$2:$C$401,C5),"")</f>
        <v>0.548387096774194</v>
      </c>
      <c r="H5" s="11" t="str">
        <f aca="false">IF(G5="","",IF(G5&gt;=0.5,"Yes","No"))</f>
        <v>Yes</v>
      </c>
      <c r="I5" s="12" t="n">
        <f aca="false">IFERROR(AVERAGEIFS(History!$H$2:$H$401,History!$E$2:$E$401,E5,History!$F$2:$F$401,F5),"")</f>
        <v>0.507575757575758</v>
      </c>
      <c r="J5" s="11" t="str">
        <f aca="false">IF(I5="","",IF(I5&gt;=0.5,"Yes","No"))</f>
        <v>Yes</v>
      </c>
      <c r="K5" s="12" t="n">
        <f aca="false">IFERROR(AVERAGEIFS(History!$H$2:$H$401,History!$E$2:$E$401,E5),"")</f>
        <v>0.34070796460177</v>
      </c>
      <c r="L5" s="11" t="str">
        <f aca="false">IF(K5="","",IF(K5&gt;=0.5,"Yes","No"))</f>
        <v>No</v>
      </c>
    </row>
    <row r="6" customFormat="false" ht="15" hidden="false" customHeight="false" outlineLevel="0" collapsed="false">
      <c r="A6" s="10" t="n">
        <v>5</v>
      </c>
      <c r="B6" s="10" t="n">
        <v>51</v>
      </c>
      <c r="C6" s="10" t="s">
        <v>29</v>
      </c>
      <c r="D6" s="10" t="n">
        <v>18</v>
      </c>
      <c r="E6" s="11" t="str">
        <f aca="false">IF(B6&lt;50,"Low",IF(B6&lt;70,"Mid","High"))</f>
        <v>Mid</v>
      </c>
      <c r="F6" s="11" t="str">
        <f aca="false">IF(D6&lt;24,"Short","Long")</f>
        <v>Short</v>
      </c>
      <c r="G6" s="12" t="n">
        <f aca="false">IFERROR(AVERAGEIFS(History!$H$2:$H$401,History!$E$2:$E$401,E6,History!$C$2:$C$401,C6),"")</f>
        <v>0.548387096774194</v>
      </c>
      <c r="H6" s="11" t="str">
        <f aca="false">IF(G6="","",IF(G6&gt;=0.5,"Yes","No"))</f>
        <v>Yes</v>
      </c>
      <c r="I6" s="12" t="n">
        <f aca="false">IFERROR(AVERAGEIFS(History!$H$2:$H$401,History!$E$2:$E$401,E6,History!$F$2:$F$401,F6),"")</f>
        <v>0.507575757575758</v>
      </c>
      <c r="J6" s="11" t="str">
        <f aca="false">IF(I6="","",IF(I6&gt;=0.5,"Yes","No"))</f>
        <v>Yes</v>
      </c>
      <c r="K6" s="12" t="n">
        <f aca="false">IFERROR(AVERAGEIFS(History!$H$2:$H$401,History!$E$2:$E$401,E6),"")</f>
        <v>0.34070796460177</v>
      </c>
      <c r="L6" s="11" t="str">
        <f aca="false">IF(K6="","",IF(K6&gt;=0.5,"Yes","No"))</f>
        <v>No</v>
      </c>
    </row>
    <row r="7" customFormat="false" ht="15" hidden="false" customHeight="false" outlineLevel="0" collapsed="false">
      <c r="A7" s="10" t="n">
        <v>6</v>
      </c>
      <c r="B7" s="10" t="n">
        <v>56</v>
      </c>
      <c r="C7" s="10" t="s">
        <v>29</v>
      </c>
      <c r="D7" s="10" t="n">
        <v>19</v>
      </c>
      <c r="E7" s="11" t="str">
        <f aca="false">IF(B7&lt;50,"Low",IF(B7&lt;70,"Mid","High"))</f>
        <v>Mid</v>
      </c>
      <c r="F7" s="11" t="str">
        <f aca="false">IF(D7&lt;24,"Short","Long")</f>
        <v>Short</v>
      </c>
      <c r="G7" s="12" t="n">
        <f aca="false">IFERROR(AVERAGEIFS(History!$H$2:$H$401,History!$E$2:$E$401,E7,History!$C$2:$C$401,C7),"")</f>
        <v>0.548387096774194</v>
      </c>
      <c r="H7" s="11" t="str">
        <f aca="false">IF(G7="","",IF(G7&gt;=0.5,"Yes","No"))</f>
        <v>Yes</v>
      </c>
      <c r="I7" s="12" t="n">
        <f aca="false">IFERROR(AVERAGEIFS(History!$H$2:$H$401,History!$E$2:$E$401,E7,History!$F$2:$F$401,F7),"")</f>
        <v>0.507575757575758</v>
      </c>
      <c r="J7" s="11" t="str">
        <f aca="false">IF(I7="","",IF(I7&gt;=0.5,"Yes","No"))</f>
        <v>Yes</v>
      </c>
      <c r="K7" s="12" t="n">
        <f aca="false">IFERROR(AVERAGEIFS(History!$H$2:$H$401,History!$E$2:$E$401,E7),"")</f>
        <v>0.34070796460177</v>
      </c>
      <c r="L7" s="11" t="str">
        <f aca="false">IF(K7="","",IF(K7&gt;=0.5,"Yes","No"))</f>
        <v>No</v>
      </c>
    </row>
    <row r="8" customFormat="false" ht="15" hidden="false" customHeight="false" outlineLevel="0" collapsed="false">
      <c r="A8" s="10" t="n">
        <v>7</v>
      </c>
      <c r="B8" s="10" t="n">
        <v>79</v>
      </c>
      <c r="C8" s="10" t="s">
        <v>27</v>
      </c>
      <c r="D8" s="10" t="n">
        <v>18</v>
      </c>
      <c r="E8" s="11" t="str">
        <f aca="false">IF(B8&lt;50,"Low",IF(B8&lt;70,"Mid","High"))</f>
        <v>High</v>
      </c>
      <c r="F8" s="11" t="str">
        <f aca="false">IF(D8&lt;24,"Short","Long")</f>
        <v>Short</v>
      </c>
      <c r="G8" s="12" t="n">
        <f aca="false">IFERROR(AVERAGEIFS(History!$H$2:$H$401,History!$E$2:$E$401,E8,History!$C$2:$C$401,C8),"")</f>
        <v>0.638297872340426</v>
      </c>
      <c r="H8" s="11" t="str">
        <f aca="false">IF(G8="","",IF(G8&gt;=0.5,"Yes","No"))</f>
        <v>Yes</v>
      </c>
      <c r="I8" s="12" t="n">
        <f aca="false">IFERROR(AVERAGEIFS(History!$H$2:$H$401,History!$E$2:$E$401,E8,History!$F$2:$F$401,F8),"")</f>
        <v>0.833333333333333</v>
      </c>
      <c r="J8" s="11" t="str">
        <f aca="false">IF(I8="","",IF(I8&gt;=0.5,"Yes","No"))</f>
        <v>Yes</v>
      </c>
      <c r="K8" s="12" t="n">
        <f aca="false">IFERROR(AVERAGEIFS(History!$H$2:$H$401,History!$E$2:$E$401,E8),"")</f>
        <v>0.739583333333333</v>
      </c>
      <c r="L8" s="11" t="str">
        <f aca="false">IF(K8="","",IF(K8&gt;=0.5,"Yes","No"))</f>
        <v>Yes</v>
      </c>
    </row>
    <row r="9" customFormat="false" ht="15" hidden="false" customHeight="false" outlineLevel="0" collapsed="false">
      <c r="A9" s="10" t="n">
        <v>8</v>
      </c>
      <c r="B9" s="10" t="n">
        <v>56</v>
      </c>
      <c r="C9" s="10" t="s">
        <v>27</v>
      </c>
      <c r="D9" s="10" t="n">
        <v>32</v>
      </c>
      <c r="E9" s="11" t="str">
        <f aca="false">IF(B9&lt;50,"Low",IF(B9&lt;70,"Mid","High"))</f>
        <v>Mid</v>
      </c>
      <c r="F9" s="11" t="str">
        <f aca="false">IF(D9&lt;24,"Short","Long")</f>
        <v>Long</v>
      </c>
      <c r="G9" s="12" t="n">
        <f aca="false">IFERROR(AVERAGEIFS(History!$H$2:$H$401,History!$E$2:$E$401,E9,History!$C$2:$C$401,C9),"")</f>
        <v>0.0882352941176471</v>
      </c>
      <c r="H9" s="11" t="str">
        <f aca="false">IF(G9="","",IF(G9&gt;=0.5,"Yes","No"))</f>
        <v>No</v>
      </c>
      <c r="I9" s="12" t="n">
        <f aca="false">IFERROR(AVERAGEIFS(History!$H$2:$H$401,History!$E$2:$E$401,E9,History!$F$2:$F$401,F9),"")</f>
        <v>0.106382978723404</v>
      </c>
      <c r="J9" s="11" t="str">
        <f aca="false">IF(I9="","",IF(I9&gt;=0.5,"Yes","No"))</f>
        <v>No</v>
      </c>
      <c r="K9" s="12" t="n">
        <f aca="false">IFERROR(AVERAGEIFS(History!$H$2:$H$401,History!$E$2:$E$401,E9),"")</f>
        <v>0.34070796460177</v>
      </c>
      <c r="L9" s="11" t="str">
        <f aca="false">IF(K9="","",IF(K9&gt;=0.5,"Yes","No"))</f>
        <v>No</v>
      </c>
    </row>
    <row r="10" customFormat="false" ht="15" hidden="false" customHeight="false" outlineLevel="0" collapsed="false">
      <c r="A10" s="10" t="n">
        <v>9</v>
      </c>
      <c r="B10" s="10" t="n">
        <v>79</v>
      </c>
      <c r="C10" s="10" t="s">
        <v>29</v>
      </c>
      <c r="D10" s="10" t="n">
        <v>18</v>
      </c>
      <c r="E10" s="11" t="str">
        <f aca="false">IF(B10&lt;50,"Low",IF(B10&lt;70,"Mid","High"))</f>
        <v>High</v>
      </c>
      <c r="F10" s="11" t="str">
        <f aca="false">IF(D10&lt;24,"Short","Long")</f>
        <v>Short</v>
      </c>
      <c r="G10" s="12" t="n">
        <f aca="false">IFERROR(AVERAGEIFS(History!$H$2:$H$401,History!$E$2:$E$401,E10,History!$C$2:$C$401,C10),"")</f>
        <v>0.836734693877551</v>
      </c>
      <c r="H10" s="11" t="str">
        <f aca="false">IF(G10="","",IF(G10&gt;=0.5,"Yes","No"))</f>
        <v>Yes</v>
      </c>
      <c r="I10" s="12" t="n">
        <f aca="false">IFERROR(AVERAGEIFS(History!$H$2:$H$401,History!$E$2:$E$401,E10,History!$F$2:$F$401,F10),"")</f>
        <v>0.833333333333333</v>
      </c>
      <c r="J10" s="11" t="str">
        <f aca="false">IF(I10="","",IF(I10&gt;=0.5,"Yes","No"))</f>
        <v>Yes</v>
      </c>
      <c r="K10" s="12" t="n">
        <f aca="false">IFERROR(AVERAGEIFS(History!$H$2:$H$401,History!$E$2:$E$401,E10),"")</f>
        <v>0.739583333333333</v>
      </c>
      <c r="L10" s="11" t="str">
        <f aca="false">IF(K10="","",IF(K10&gt;=0.5,"Yes","No"))</f>
        <v>Yes</v>
      </c>
    </row>
    <row r="11" customFormat="false" ht="15" hidden="false" customHeight="false" outlineLevel="0" collapsed="false">
      <c r="A11" s="10" t="n">
        <v>10</v>
      </c>
      <c r="B11" s="10" t="n">
        <v>54</v>
      </c>
      <c r="C11" s="10" t="s">
        <v>29</v>
      </c>
      <c r="D11" s="10" t="n">
        <v>23</v>
      </c>
      <c r="E11" s="11" t="str">
        <f aca="false">IF(B11&lt;50,"Low",IF(B11&lt;70,"Mid","High"))</f>
        <v>Mid</v>
      </c>
      <c r="F11" s="11" t="str">
        <f aca="false">IF(D11&lt;24,"Short","Long")</f>
        <v>Short</v>
      </c>
      <c r="G11" s="12" t="n">
        <f aca="false">IFERROR(AVERAGEIFS(History!$H$2:$H$401,History!$E$2:$E$401,E11,History!$C$2:$C$401,C11),"")</f>
        <v>0.548387096774194</v>
      </c>
      <c r="H11" s="11" t="str">
        <f aca="false">IF(G11="","",IF(G11&gt;=0.5,"Yes","No"))</f>
        <v>Yes</v>
      </c>
      <c r="I11" s="12" t="n">
        <f aca="false">IFERROR(AVERAGEIFS(History!$H$2:$H$401,History!$E$2:$E$401,E11,History!$F$2:$F$401,F11),"")</f>
        <v>0.507575757575758</v>
      </c>
      <c r="J11" s="11" t="str">
        <f aca="false">IF(I11="","",IF(I11&gt;=0.5,"Yes","No"))</f>
        <v>Yes</v>
      </c>
      <c r="K11" s="12" t="n">
        <f aca="false">IFERROR(AVERAGEIFS(History!$H$2:$H$401,History!$E$2:$E$401,E11),"")</f>
        <v>0.34070796460177</v>
      </c>
      <c r="L11" s="11" t="str">
        <f aca="false">IF(K11="","",IF(K11&gt;=0.5,"Yes","No"))</f>
        <v>No</v>
      </c>
    </row>
    <row r="12" customFormat="false" ht="15" hidden="false" customHeight="false" outlineLevel="0" collapsed="false">
      <c r="A12" s="10" t="n">
        <v>11</v>
      </c>
      <c r="B12" s="10" t="n">
        <v>72</v>
      </c>
      <c r="C12" s="10" t="s">
        <v>29</v>
      </c>
      <c r="D12" s="10" t="n">
        <v>23</v>
      </c>
      <c r="E12" s="11" t="str">
        <f aca="false">IF(B12&lt;50,"Low",IF(B12&lt;70,"Mid","High"))</f>
        <v>High</v>
      </c>
      <c r="F12" s="11" t="str">
        <f aca="false">IF(D12&lt;24,"Short","Long")</f>
        <v>Short</v>
      </c>
      <c r="G12" s="12" t="n">
        <f aca="false">IFERROR(AVERAGEIFS(History!$H$2:$H$401,History!$E$2:$E$401,E12,History!$C$2:$C$401,C12),"")</f>
        <v>0.836734693877551</v>
      </c>
      <c r="H12" s="11" t="str">
        <f aca="false">IF(G12="","",IF(G12&gt;=0.5,"Yes","No"))</f>
        <v>Yes</v>
      </c>
      <c r="I12" s="12" t="n">
        <f aca="false">IFERROR(AVERAGEIFS(History!$H$2:$H$401,History!$E$2:$E$401,E12,History!$F$2:$F$401,F12),"")</f>
        <v>0.833333333333333</v>
      </c>
      <c r="J12" s="11" t="str">
        <f aca="false">IF(I12="","",IF(I12&gt;=0.5,"Yes","No"))</f>
        <v>Yes</v>
      </c>
      <c r="K12" s="12" t="n">
        <f aca="false">IFERROR(AVERAGEIFS(History!$H$2:$H$401,History!$E$2:$E$401,E12),"")</f>
        <v>0.739583333333333</v>
      </c>
      <c r="L12" s="11" t="str">
        <f aca="false">IF(K12="","",IF(K12&gt;=0.5,"Yes","No"))</f>
        <v>Yes</v>
      </c>
    </row>
    <row r="13" customFormat="false" ht="15" hidden="false" customHeight="false" outlineLevel="0" collapsed="false">
      <c r="A13" s="10" t="n">
        <v>12</v>
      </c>
      <c r="B13" s="10" t="n">
        <v>54</v>
      </c>
      <c r="C13" s="10" t="s">
        <v>29</v>
      </c>
      <c r="D13" s="10" t="n">
        <v>15</v>
      </c>
      <c r="E13" s="11" t="str">
        <f aca="false">IF(B13&lt;50,"Low",IF(B13&lt;70,"Mid","High"))</f>
        <v>Mid</v>
      </c>
      <c r="F13" s="11" t="str">
        <f aca="false">IF(D13&lt;24,"Short","Long")</f>
        <v>Short</v>
      </c>
      <c r="G13" s="12" t="n">
        <f aca="false">IFERROR(AVERAGEIFS(History!$H$2:$H$401,History!$E$2:$E$401,E13,History!$C$2:$C$401,C13),"")</f>
        <v>0.548387096774194</v>
      </c>
      <c r="H13" s="11" t="str">
        <f aca="false">IF(G13="","",IF(G13&gt;=0.5,"Yes","No"))</f>
        <v>Yes</v>
      </c>
      <c r="I13" s="12" t="n">
        <f aca="false">IFERROR(AVERAGEIFS(History!$H$2:$H$401,History!$E$2:$E$401,E13,History!$F$2:$F$401,F13),"")</f>
        <v>0.507575757575758</v>
      </c>
      <c r="J13" s="11" t="str">
        <f aca="false">IF(I13="","",IF(I13&gt;=0.5,"Yes","No"))</f>
        <v>Yes</v>
      </c>
      <c r="K13" s="12" t="n">
        <f aca="false">IFERROR(AVERAGEIFS(History!$H$2:$H$401,History!$E$2:$E$401,E13),"")</f>
        <v>0.34070796460177</v>
      </c>
      <c r="L13" s="11" t="str">
        <f aca="false">IF(K13="","",IF(K13&gt;=0.5,"Yes","No"))</f>
        <v>No</v>
      </c>
    </row>
    <row r="14" customFormat="false" ht="15" hidden="false" customHeight="false" outlineLevel="0" collapsed="false">
      <c r="A14" s="10" t="n">
        <v>13</v>
      </c>
      <c r="B14" s="10" t="n">
        <v>86</v>
      </c>
      <c r="C14" s="10" t="s">
        <v>29</v>
      </c>
      <c r="D14" s="10" t="n">
        <v>21</v>
      </c>
      <c r="E14" s="11" t="str">
        <f aca="false">IF(B14&lt;50,"Low",IF(B14&lt;70,"Mid","High"))</f>
        <v>High</v>
      </c>
      <c r="F14" s="11" t="str">
        <f aca="false">IF(D14&lt;24,"Short","Long")</f>
        <v>Short</v>
      </c>
      <c r="G14" s="12" t="n">
        <f aca="false">IFERROR(AVERAGEIFS(History!$H$2:$H$401,History!$E$2:$E$401,E14,History!$C$2:$C$401,C14),"")</f>
        <v>0.836734693877551</v>
      </c>
      <c r="H14" s="11" t="str">
        <f aca="false">IF(G14="","",IF(G14&gt;=0.5,"Yes","No"))</f>
        <v>Yes</v>
      </c>
      <c r="I14" s="12" t="n">
        <f aca="false">IFERROR(AVERAGEIFS(History!$H$2:$H$401,History!$E$2:$E$401,E14,History!$F$2:$F$401,F14),"")</f>
        <v>0.833333333333333</v>
      </c>
      <c r="J14" s="11" t="str">
        <f aca="false">IF(I14="","",IF(I14&gt;=0.5,"Yes","No"))</f>
        <v>Yes</v>
      </c>
      <c r="K14" s="12" t="n">
        <f aca="false">IFERROR(AVERAGEIFS(History!$H$2:$H$401,History!$E$2:$E$401,E14),"")</f>
        <v>0.739583333333333</v>
      </c>
      <c r="L14" s="11" t="str">
        <f aca="false">IF(K14="","",IF(K14&gt;=0.5,"Yes","No"))</f>
        <v>Yes</v>
      </c>
    </row>
    <row r="15" customFormat="false" ht="15" hidden="false" customHeight="false" outlineLevel="0" collapsed="false">
      <c r="A15" s="10" t="n">
        <v>14</v>
      </c>
      <c r="B15" s="10" t="n">
        <v>53</v>
      </c>
      <c r="C15" s="10" t="s">
        <v>29</v>
      </c>
      <c r="D15" s="10" t="n">
        <v>9</v>
      </c>
      <c r="E15" s="11" t="str">
        <f aca="false">IF(B15&lt;50,"Low",IF(B15&lt;70,"Mid","High"))</f>
        <v>Mid</v>
      </c>
      <c r="F15" s="11" t="str">
        <f aca="false">IF(D15&lt;24,"Short","Long")</f>
        <v>Short</v>
      </c>
      <c r="G15" s="12" t="n">
        <f aca="false">IFERROR(AVERAGEIFS(History!$H$2:$H$401,History!$E$2:$E$401,E15,History!$C$2:$C$401,C15),"")</f>
        <v>0.548387096774194</v>
      </c>
      <c r="H15" s="11" t="str">
        <f aca="false">IF(G15="","",IF(G15&gt;=0.5,"Yes","No"))</f>
        <v>Yes</v>
      </c>
      <c r="I15" s="12" t="n">
        <f aca="false">IFERROR(AVERAGEIFS(History!$H$2:$H$401,History!$E$2:$E$401,E15,History!$F$2:$F$401,F15),"")</f>
        <v>0.507575757575758</v>
      </c>
      <c r="J15" s="11" t="str">
        <f aca="false">IF(I15="","",IF(I15&gt;=0.5,"Yes","No"))</f>
        <v>Yes</v>
      </c>
      <c r="K15" s="12" t="n">
        <f aca="false">IFERROR(AVERAGEIFS(History!$H$2:$H$401,History!$E$2:$E$401,E15),"")</f>
        <v>0.34070796460177</v>
      </c>
      <c r="L15" s="11" t="str">
        <f aca="false">IF(K15="","",IF(K15&gt;=0.5,"Yes","No"))</f>
        <v>No</v>
      </c>
    </row>
    <row r="16" customFormat="false" ht="15" hidden="false" customHeight="false" outlineLevel="0" collapsed="false">
      <c r="A16" s="10" t="n">
        <v>15</v>
      </c>
      <c r="B16" s="10" t="n">
        <v>67</v>
      </c>
      <c r="C16" s="10" t="s">
        <v>27</v>
      </c>
      <c r="D16" s="10" t="n">
        <v>30</v>
      </c>
      <c r="E16" s="11" t="str">
        <f aca="false">IF(B16&lt;50,"Low",IF(B16&lt;70,"Mid","High"))</f>
        <v>Mid</v>
      </c>
      <c r="F16" s="11" t="str">
        <f aca="false">IF(D16&lt;24,"Short","Long")</f>
        <v>Long</v>
      </c>
      <c r="G16" s="12" t="n">
        <f aca="false">IFERROR(AVERAGEIFS(History!$H$2:$H$401,History!$E$2:$E$401,E16,History!$C$2:$C$401,C16),"")</f>
        <v>0.0882352941176471</v>
      </c>
      <c r="H16" s="11" t="str">
        <f aca="false">IF(G16="","",IF(G16&gt;=0.5,"Yes","No"))</f>
        <v>No</v>
      </c>
      <c r="I16" s="12" t="n">
        <f aca="false">IFERROR(AVERAGEIFS(History!$H$2:$H$401,History!$E$2:$E$401,E16,History!$F$2:$F$401,F16),"")</f>
        <v>0.106382978723404</v>
      </c>
      <c r="J16" s="11" t="str">
        <f aca="false">IF(I16="","",IF(I16&gt;=0.5,"Yes","No"))</f>
        <v>No</v>
      </c>
      <c r="K16" s="12" t="n">
        <f aca="false">IFERROR(AVERAGEIFS(History!$H$2:$H$401,History!$E$2:$E$401,E16),"")</f>
        <v>0.34070796460177</v>
      </c>
      <c r="L16" s="11" t="str">
        <f aca="false">IF(K16="","",IF(K16&gt;=0.5,"Yes","No"))</f>
        <v>No</v>
      </c>
    </row>
    <row r="17" customFormat="false" ht="15" hidden="false" customHeight="false" outlineLevel="0" collapsed="false">
      <c r="A17" s="10" t="n">
        <v>16</v>
      </c>
      <c r="B17" s="10" t="n">
        <v>57</v>
      </c>
      <c r="C17" s="10" t="s">
        <v>29</v>
      </c>
      <c r="D17" s="10" t="n">
        <v>17</v>
      </c>
      <c r="E17" s="11" t="str">
        <f aca="false">IF(B17&lt;50,"Low",IF(B17&lt;70,"Mid","High"))</f>
        <v>Mid</v>
      </c>
      <c r="F17" s="11" t="str">
        <f aca="false">IF(D17&lt;24,"Short","Long")</f>
        <v>Short</v>
      </c>
      <c r="G17" s="12" t="n">
        <f aca="false">IFERROR(AVERAGEIFS(History!$H$2:$H$401,History!$E$2:$E$401,E17,History!$C$2:$C$401,C17),"")</f>
        <v>0.548387096774194</v>
      </c>
      <c r="H17" s="11" t="str">
        <f aca="false">IF(G17="","",IF(G17&gt;=0.5,"Yes","No"))</f>
        <v>Yes</v>
      </c>
      <c r="I17" s="12" t="n">
        <f aca="false">IFERROR(AVERAGEIFS(History!$H$2:$H$401,History!$E$2:$E$401,E17,History!$F$2:$F$401,F17),"")</f>
        <v>0.507575757575758</v>
      </c>
      <c r="J17" s="11" t="str">
        <f aca="false">IF(I17="","",IF(I17&gt;=0.5,"Yes","No"))</f>
        <v>Yes</v>
      </c>
      <c r="K17" s="12" t="n">
        <f aca="false">IFERROR(AVERAGEIFS(History!$H$2:$H$401,History!$E$2:$E$401,E17),"")</f>
        <v>0.34070796460177</v>
      </c>
      <c r="L17" s="11" t="str">
        <f aca="false">IF(K17="","",IF(K17&gt;=0.5,"Yes","No"))</f>
        <v>No</v>
      </c>
    </row>
    <row r="18" customFormat="false" ht="15" hidden="false" customHeight="false" outlineLevel="0" collapsed="false">
      <c r="A18" s="10" t="n">
        <v>17</v>
      </c>
      <c r="B18" s="10" t="n">
        <v>52</v>
      </c>
      <c r="C18" s="10" t="s">
        <v>29</v>
      </c>
      <c r="D18" s="10" t="n">
        <v>19</v>
      </c>
      <c r="E18" s="11" t="str">
        <f aca="false">IF(B18&lt;50,"Low",IF(B18&lt;70,"Mid","High"))</f>
        <v>Mid</v>
      </c>
      <c r="F18" s="11" t="str">
        <f aca="false">IF(D18&lt;24,"Short","Long")</f>
        <v>Short</v>
      </c>
      <c r="G18" s="12" t="n">
        <f aca="false">IFERROR(AVERAGEIFS(History!$H$2:$H$401,History!$E$2:$E$401,E18,History!$C$2:$C$401,C18),"")</f>
        <v>0.548387096774194</v>
      </c>
      <c r="H18" s="11" t="str">
        <f aca="false">IF(G18="","",IF(G18&gt;=0.5,"Yes","No"))</f>
        <v>Yes</v>
      </c>
      <c r="I18" s="12" t="n">
        <f aca="false">IFERROR(AVERAGEIFS(History!$H$2:$H$401,History!$E$2:$E$401,E18,History!$F$2:$F$401,F18),"")</f>
        <v>0.507575757575758</v>
      </c>
      <c r="J18" s="11" t="str">
        <f aca="false">IF(I18="","",IF(I18&gt;=0.5,"Yes","No"))</f>
        <v>Yes</v>
      </c>
      <c r="K18" s="12" t="n">
        <f aca="false">IFERROR(AVERAGEIFS(History!$H$2:$H$401,History!$E$2:$E$401,E18),"")</f>
        <v>0.34070796460177</v>
      </c>
      <c r="L18" s="11" t="str">
        <f aca="false">IF(K18="","",IF(K18&gt;=0.5,"Yes","No"))</f>
        <v>No</v>
      </c>
    </row>
    <row r="19" customFormat="false" ht="15" hidden="false" customHeight="false" outlineLevel="0" collapsed="false">
      <c r="A19" s="10" t="n">
        <v>18</v>
      </c>
      <c r="B19" s="10" t="n">
        <v>56</v>
      </c>
      <c r="C19" s="10" t="s">
        <v>29</v>
      </c>
      <c r="D19" s="10" t="n">
        <v>13</v>
      </c>
      <c r="E19" s="11" t="str">
        <f aca="false">IF(B19&lt;50,"Low",IF(B19&lt;70,"Mid","High"))</f>
        <v>Mid</v>
      </c>
      <c r="F19" s="11" t="str">
        <f aca="false">IF(D19&lt;24,"Short","Long")</f>
        <v>Short</v>
      </c>
      <c r="G19" s="12" t="n">
        <f aca="false">IFERROR(AVERAGEIFS(History!$H$2:$H$401,History!$E$2:$E$401,E19,History!$C$2:$C$401,C19),"")</f>
        <v>0.548387096774194</v>
      </c>
      <c r="H19" s="11" t="str">
        <f aca="false">IF(G19="","",IF(G19&gt;=0.5,"Yes","No"))</f>
        <v>Yes</v>
      </c>
      <c r="I19" s="12" t="n">
        <f aca="false">IFERROR(AVERAGEIFS(History!$H$2:$H$401,History!$E$2:$E$401,E19,History!$F$2:$F$401,F19),"")</f>
        <v>0.507575757575758</v>
      </c>
      <c r="J19" s="11" t="str">
        <f aca="false">IF(I19="","",IF(I19&gt;=0.5,"Yes","No"))</f>
        <v>Yes</v>
      </c>
      <c r="K19" s="12" t="n">
        <f aca="false">IFERROR(AVERAGEIFS(History!$H$2:$H$401,History!$E$2:$E$401,E19),"")</f>
        <v>0.34070796460177</v>
      </c>
      <c r="L19" s="11" t="str">
        <f aca="false">IF(K19="","",IF(K19&gt;=0.5,"Yes","No"))</f>
        <v>No</v>
      </c>
    </row>
    <row r="20" customFormat="false" ht="15" hidden="false" customHeight="false" outlineLevel="0" collapsed="false">
      <c r="A20" s="10" t="n">
        <v>19</v>
      </c>
      <c r="B20" s="10" t="n">
        <v>85</v>
      </c>
      <c r="C20" s="10" t="s">
        <v>29</v>
      </c>
      <c r="D20" s="10" t="n">
        <v>11</v>
      </c>
      <c r="E20" s="11" t="str">
        <f aca="false">IF(B20&lt;50,"Low",IF(B20&lt;70,"Mid","High"))</f>
        <v>High</v>
      </c>
      <c r="F20" s="11" t="str">
        <f aca="false">IF(D20&lt;24,"Short","Long")</f>
        <v>Short</v>
      </c>
      <c r="G20" s="12" t="n">
        <f aca="false">IFERROR(AVERAGEIFS(History!$H$2:$H$401,History!$E$2:$E$401,E20,History!$C$2:$C$401,C20),"")</f>
        <v>0.836734693877551</v>
      </c>
      <c r="H20" s="11" t="str">
        <f aca="false">IF(G20="","",IF(G20&gt;=0.5,"Yes","No"))</f>
        <v>Yes</v>
      </c>
      <c r="I20" s="12" t="n">
        <f aca="false">IFERROR(AVERAGEIFS(History!$H$2:$H$401,History!$E$2:$E$401,E20,History!$F$2:$F$401,F20),"")</f>
        <v>0.833333333333333</v>
      </c>
      <c r="J20" s="11" t="str">
        <f aca="false">IF(I20="","",IF(I20&gt;=0.5,"Yes","No"))</f>
        <v>Yes</v>
      </c>
      <c r="K20" s="12" t="n">
        <f aca="false">IFERROR(AVERAGEIFS(History!$H$2:$H$401,History!$E$2:$E$401,E20),"")</f>
        <v>0.739583333333333</v>
      </c>
      <c r="L20" s="11" t="str">
        <f aca="false">IF(K20="","",IF(K20&gt;=0.5,"Yes","No"))</f>
        <v>Yes</v>
      </c>
    </row>
    <row r="21" customFormat="false" ht="15" hidden="false" customHeight="false" outlineLevel="0" collapsed="false">
      <c r="A21" s="10" t="n">
        <v>20</v>
      </c>
      <c r="B21" s="10" t="n">
        <v>43</v>
      </c>
      <c r="C21" s="10" t="s">
        <v>29</v>
      </c>
      <c r="D21" s="10" t="n">
        <v>20</v>
      </c>
      <c r="E21" s="11" t="str">
        <f aca="false">IF(B21&lt;50,"Low",IF(B21&lt;70,"Mid","High"))</f>
        <v>Low</v>
      </c>
      <c r="F21" s="11" t="str">
        <f aca="false">IF(D21&lt;24,"Short","Long")</f>
        <v>Short</v>
      </c>
      <c r="G21" s="12" t="n">
        <f aca="false">IFERROR(AVERAGEIFS(History!$H$2:$H$401,History!$E$2:$E$401,E21,History!$C$2:$C$401,C21),"")</f>
        <v>0.0789473684210526</v>
      </c>
      <c r="H21" s="11" t="str">
        <f aca="false">IF(G21="","",IF(G21&gt;=0.5,"Yes","No"))</f>
        <v>No</v>
      </c>
      <c r="I21" s="12" t="n">
        <f aca="false">IFERROR(AVERAGEIFS(History!$H$2:$H$401,History!$E$2:$E$401,E21,History!$F$2:$F$401,F21),"")</f>
        <v>0.0909090909090909</v>
      </c>
      <c r="J21" s="11" t="str">
        <f aca="false">IF(I21="","",IF(I21&gt;=0.5,"Yes","No"))</f>
        <v>No</v>
      </c>
      <c r="K21" s="12" t="n">
        <f aca="false">IFERROR(AVERAGEIFS(History!$H$2:$H$401,History!$E$2:$E$401,E21),"")</f>
        <v>0.0769230769230769</v>
      </c>
      <c r="L21" s="11" t="str">
        <f aca="false">IF(K21="","",IF(K21&gt;=0.5,"Yes","No"))</f>
        <v>No</v>
      </c>
    </row>
    <row r="22" customFormat="false" ht="15" hidden="false" customHeight="false" outlineLevel="0" collapsed="false">
      <c r="A22" s="10" t="n">
        <v>21</v>
      </c>
      <c r="B22" s="10" t="n">
        <v>89</v>
      </c>
      <c r="C22" s="10" t="s">
        <v>27</v>
      </c>
      <c r="D22" s="10" t="n">
        <v>35</v>
      </c>
      <c r="E22" s="11" t="str">
        <f aca="false">IF(B22&lt;50,"Low",IF(B22&lt;70,"Mid","High"))</f>
        <v>High</v>
      </c>
      <c r="F22" s="11" t="str">
        <f aca="false">IF(D22&lt;24,"Short","Long")</f>
        <v>Long</v>
      </c>
      <c r="G22" s="12" t="n">
        <f aca="false">IFERROR(AVERAGEIFS(History!$H$2:$H$401,History!$E$2:$E$401,E22,History!$C$2:$C$401,C22),"")</f>
        <v>0.638297872340426</v>
      </c>
      <c r="H22" s="11" t="str">
        <f aca="false">IF(G22="","",IF(G22&gt;=0.5,"Yes","No"))</f>
        <v>Yes</v>
      </c>
      <c r="I22" s="12" t="n">
        <f aca="false">IFERROR(AVERAGEIFS(History!$H$2:$H$401,History!$E$2:$E$401,E22,History!$F$2:$F$401,F22),"")</f>
        <v>0.619047619047619</v>
      </c>
      <c r="J22" s="11" t="str">
        <f aca="false">IF(I22="","",IF(I22&gt;=0.5,"Yes","No"))</f>
        <v>Yes</v>
      </c>
      <c r="K22" s="12" t="n">
        <f aca="false">IFERROR(AVERAGEIFS(History!$H$2:$H$401,History!$E$2:$E$401,E22),"")</f>
        <v>0.739583333333333</v>
      </c>
      <c r="L22" s="11" t="str">
        <f aca="false">IF(K22="","",IF(K22&gt;=0.5,"Yes","No"))</f>
        <v>Yes</v>
      </c>
    </row>
    <row r="23" customFormat="false" ht="15" hidden="false" customHeight="false" outlineLevel="0" collapsed="false">
      <c r="A23" s="10" t="n">
        <v>22</v>
      </c>
      <c r="B23" s="10" t="n">
        <v>65</v>
      </c>
      <c r="C23" s="10" t="s">
        <v>27</v>
      </c>
      <c r="D23" s="10" t="n">
        <v>31</v>
      </c>
      <c r="E23" s="11" t="str">
        <f aca="false">IF(B23&lt;50,"Low",IF(B23&lt;70,"Mid","High"))</f>
        <v>Mid</v>
      </c>
      <c r="F23" s="11" t="str">
        <f aca="false">IF(D23&lt;24,"Short","Long")</f>
        <v>Long</v>
      </c>
      <c r="G23" s="12" t="n">
        <f aca="false">IFERROR(AVERAGEIFS(History!$H$2:$H$401,History!$E$2:$E$401,E23,History!$C$2:$C$401,C23),"")</f>
        <v>0.0882352941176471</v>
      </c>
      <c r="H23" s="11" t="str">
        <f aca="false">IF(G23="","",IF(G23&gt;=0.5,"Yes","No"))</f>
        <v>No</v>
      </c>
      <c r="I23" s="12" t="n">
        <f aca="false">IFERROR(AVERAGEIFS(History!$H$2:$H$401,History!$E$2:$E$401,E23,History!$F$2:$F$401,F23),"")</f>
        <v>0.106382978723404</v>
      </c>
      <c r="J23" s="11" t="str">
        <f aca="false">IF(I23="","",IF(I23&gt;=0.5,"Yes","No"))</f>
        <v>No</v>
      </c>
      <c r="K23" s="12" t="n">
        <f aca="false">IFERROR(AVERAGEIFS(History!$H$2:$H$401,History!$E$2:$E$401,E23),"")</f>
        <v>0.34070796460177</v>
      </c>
      <c r="L23" s="11" t="str">
        <f aca="false">IF(K23="","",IF(K23&gt;=0.5,"Yes","No"))</f>
        <v>No</v>
      </c>
    </row>
    <row r="24" customFormat="false" ht="15" hidden="false" customHeight="false" outlineLevel="0" collapsed="false">
      <c r="A24" s="10" t="n">
        <v>23</v>
      </c>
      <c r="B24" s="10" t="n">
        <v>73</v>
      </c>
      <c r="C24" s="10" t="s">
        <v>29</v>
      </c>
      <c r="D24" s="10" t="n">
        <v>13</v>
      </c>
      <c r="E24" s="11" t="str">
        <f aca="false">IF(B24&lt;50,"Low",IF(B24&lt;70,"Mid","High"))</f>
        <v>High</v>
      </c>
      <c r="F24" s="11" t="str">
        <f aca="false">IF(D24&lt;24,"Short","Long")</f>
        <v>Short</v>
      </c>
      <c r="G24" s="12" t="n">
        <f aca="false">IFERROR(AVERAGEIFS(History!$H$2:$H$401,History!$E$2:$E$401,E24,History!$C$2:$C$401,C24),"")</f>
        <v>0.836734693877551</v>
      </c>
      <c r="H24" s="11" t="str">
        <f aca="false">IF(G24="","",IF(G24&gt;=0.5,"Yes","No"))</f>
        <v>Yes</v>
      </c>
      <c r="I24" s="12" t="n">
        <f aca="false">IFERROR(AVERAGEIFS(History!$H$2:$H$401,History!$E$2:$E$401,E24,History!$F$2:$F$401,F24),"")</f>
        <v>0.833333333333333</v>
      </c>
      <c r="J24" s="11" t="str">
        <f aca="false">IF(I24="","",IF(I24&gt;=0.5,"Yes","No"))</f>
        <v>Yes</v>
      </c>
      <c r="K24" s="12" t="n">
        <f aca="false">IFERROR(AVERAGEIFS(History!$H$2:$H$401,History!$E$2:$E$401,E24),"")</f>
        <v>0.739583333333333</v>
      </c>
      <c r="L24" s="11" t="str">
        <f aca="false">IF(K24="","",IF(K24&gt;=0.5,"Yes","No"))</f>
        <v>Yes</v>
      </c>
    </row>
    <row r="25" customFormat="false" ht="15" hidden="false" customHeight="false" outlineLevel="0" collapsed="false">
      <c r="A25" s="10" t="n">
        <v>24</v>
      </c>
      <c r="B25" s="10" t="n">
        <v>74</v>
      </c>
      <c r="C25" s="10" t="s">
        <v>27</v>
      </c>
      <c r="D25" s="10" t="n">
        <v>34</v>
      </c>
      <c r="E25" s="11" t="str">
        <f aca="false">IF(B25&lt;50,"Low",IF(B25&lt;70,"Mid","High"))</f>
        <v>High</v>
      </c>
      <c r="F25" s="11" t="str">
        <f aca="false">IF(D25&lt;24,"Short","Long")</f>
        <v>Long</v>
      </c>
      <c r="G25" s="12" t="n">
        <f aca="false">IFERROR(AVERAGEIFS(History!$H$2:$H$401,History!$E$2:$E$401,E25,History!$C$2:$C$401,C25),"")</f>
        <v>0.638297872340426</v>
      </c>
      <c r="H25" s="11" t="str">
        <f aca="false">IF(G25="","",IF(G25&gt;=0.5,"Yes","No"))</f>
        <v>Yes</v>
      </c>
      <c r="I25" s="12" t="n">
        <f aca="false">IFERROR(AVERAGEIFS(History!$H$2:$H$401,History!$E$2:$E$401,E25,History!$F$2:$F$401,F25),"")</f>
        <v>0.619047619047619</v>
      </c>
      <c r="J25" s="11" t="str">
        <f aca="false">IF(I25="","",IF(I25&gt;=0.5,"Yes","No"))</f>
        <v>Yes</v>
      </c>
      <c r="K25" s="12" t="n">
        <f aca="false">IFERROR(AVERAGEIFS(History!$H$2:$H$401,History!$E$2:$E$401,E25),"")</f>
        <v>0.739583333333333</v>
      </c>
      <c r="L25" s="11" t="str">
        <f aca="false">IF(K25="","",IF(K25&gt;=0.5,"Yes","No"))</f>
        <v>Yes</v>
      </c>
    </row>
    <row r="26" customFormat="false" ht="15" hidden="false" customHeight="false" outlineLevel="0" collapsed="false">
      <c r="A26" s="10" t="n">
        <v>25</v>
      </c>
      <c r="B26" s="10" t="n">
        <v>63</v>
      </c>
      <c r="C26" s="10" t="s">
        <v>27</v>
      </c>
      <c r="D26" s="10" t="n">
        <v>40</v>
      </c>
      <c r="E26" s="11" t="str">
        <f aca="false">IF(B26&lt;50,"Low",IF(B26&lt;70,"Mid","High"))</f>
        <v>Mid</v>
      </c>
      <c r="F26" s="11" t="str">
        <f aca="false">IF(D26&lt;24,"Short","Long")</f>
        <v>Long</v>
      </c>
      <c r="G26" s="12" t="n">
        <f aca="false">IFERROR(AVERAGEIFS(History!$H$2:$H$401,History!$E$2:$E$401,E26,History!$C$2:$C$401,C26),"")</f>
        <v>0.0882352941176471</v>
      </c>
      <c r="H26" s="11" t="str">
        <f aca="false">IF(G26="","",IF(G26&gt;=0.5,"Yes","No"))</f>
        <v>No</v>
      </c>
      <c r="I26" s="12" t="n">
        <f aca="false">IFERROR(AVERAGEIFS(History!$H$2:$H$401,History!$E$2:$E$401,E26,History!$F$2:$F$401,F26),"")</f>
        <v>0.106382978723404</v>
      </c>
      <c r="J26" s="11" t="str">
        <f aca="false">IF(I26="","",IF(I26&gt;=0.5,"Yes","No"))</f>
        <v>No</v>
      </c>
      <c r="K26" s="12" t="n">
        <f aca="false">IFERROR(AVERAGEIFS(History!$H$2:$H$401,History!$E$2:$E$401,E26),"")</f>
        <v>0.34070796460177</v>
      </c>
      <c r="L26" s="11" t="str">
        <f aca="false">IF(K26="","",IF(K26&gt;=0.5,"Yes","No"))</f>
        <v>No</v>
      </c>
    </row>
    <row r="27" customFormat="false" ht="15" hidden="false" customHeight="false" outlineLevel="0" collapsed="false">
      <c r="A27" s="10" t="n">
        <v>26</v>
      </c>
      <c r="B27" s="10" t="n">
        <v>52</v>
      </c>
      <c r="C27" s="10" t="s">
        <v>27</v>
      </c>
      <c r="D27" s="10" t="n">
        <v>42</v>
      </c>
      <c r="E27" s="11" t="str">
        <f aca="false">IF(B27&lt;50,"Low",IF(B27&lt;70,"Mid","High"))</f>
        <v>Mid</v>
      </c>
      <c r="F27" s="11" t="str">
        <f aca="false">IF(D27&lt;24,"Short","Long")</f>
        <v>Long</v>
      </c>
      <c r="G27" s="12" t="n">
        <f aca="false">IFERROR(AVERAGEIFS(History!$H$2:$H$401,History!$E$2:$E$401,E27,History!$C$2:$C$401,C27),"")</f>
        <v>0.0882352941176471</v>
      </c>
      <c r="H27" s="11" t="str">
        <f aca="false">IF(G27="","",IF(G27&gt;=0.5,"Yes","No"))</f>
        <v>No</v>
      </c>
      <c r="I27" s="12" t="n">
        <f aca="false">IFERROR(AVERAGEIFS(History!$H$2:$H$401,History!$E$2:$E$401,E27,History!$F$2:$F$401,F27),"")</f>
        <v>0.106382978723404</v>
      </c>
      <c r="J27" s="11" t="str">
        <f aca="false">IF(I27="","",IF(I27&gt;=0.5,"Yes","No"))</f>
        <v>No</v>
      </c>
      <c r="K27" s="12" t="n">
        <f aca="false">IFERROR(AVERAGEIFS(History!$H$2:$H$401,History!$E$2:$E$401,E27),"")</f>
        <v>0.34070796460177</v>
      </c>
      <c r="L27" s="11" t="str">
        <f aca="false">IF(K27="","",IF(K27&gt;=0.5,"Yes","No"))</f>
        <v>No</v>
      </c>
    </row>
    <row r="28" customFormat="false" ht="15" hidden="false" customHeight="false" outlineLevel="0" collapsed="false">
      <c r="A28" s="10" t="n">
        <v>27</v>
      </c>
      <c r="B28" s="10" t="n">
        <v>65</v>
      </c>
      <c r="C28" s="10" t="s">
        <v>29</v>
      </c>
      <c r="D28" s="10" t="n">
        <v>21</v>
      </c>
      <c r="E28" s="11" t="str">
        <f aca="false">IF(B28&lt;50,"Low",IF(B28&lt;70,"Mid","High"))</f>
        <v>Mid</v>
      </c>
      <c r="F28" s="11" t="str">
        <f aca="false">IF(D28&lt;24,"Short","Long")</f>
        <v>Short</v>
      </c>
      <c r="G28" s="12" t="n">
        <f aca="false">IFERROR(AVERAGEIFS(History!$H$2:$H$401,History!$E$2:$E$401,E28,History!$C$2:$C$401,C28),"")</f>
        <v>0.548387096774194</v>
      </c>
      <c r="H28" s="11" t="str">
        <f aca="false">IF(G28="","",IF(G28&gt;=0.5,"Yes","No"))</f>
        <v>Yes</v>
      </c>
      <c r="I28" s="12" t="n">
        <f aca="false">IFERROR(AVERAGEIFS(History!$H$2:$H$401,History!$E$2:$E$401,E28,History!$F$2:$F$401,F28),"")</f>
        <v>0.507575757575758</v>
      </c>
      <c r="J28" s="11" t="str">
        <f aca="false">IF(I28="","",IF(I28&gt;=0.5,"Yes","No"))</f>
        <v>Yes</v>
      </c>
      <c r="K28" s="12" t="n">
        <f aca="false">IFERROR(AVERAGEIFS(History!$H$2:$H$401,History!$E$2:$E$401,E28),"")</f>
        <v>0.34070796460177</v>
      </c>
      <c r="L28" s="11" t="str">
        <f aca="false">IF(K28="","",IF(K28&gt;=0.5,"Yes","No"))</f>
        <v>No</v>
      </c>
    </row>
    <row r="29" customFormat="false" ht="15" hidden="false" customHeight="false" outlineLevel="0" collapsed="false">
      <c r="A29" s="10" t="n">
        <v>28</v>
      </c>
      <c r="B29" s="10" t="n">
        <v>44</v>
      </c>
      <c r="C29" s="10" t="s">
        <v>29</v>
      </c>
      <c r="D29" s="10" t="n">
        <v>16</v>
      </c>
      <c r="E29" s="11" t="str">
        <f aca="false">IF(B29&lt;50,"Low",IF(B29&lt;70,"Mid","High"))</f>
        <v>Low</v>
      </c>
      <c r="F29" s="11" t="str">
        <f aca="false">IF(D29&lt;24,"Short","Long")</f>
        <v>Short</v>
      </c>
      <c r="G29" s="12" t="n">
        <f aca="false">IFERROR(AVERAGEIFS(History!$H$2:$H$401,History!$E$2:$E$401,E29,History!$C$2:$C$401,C29),"")</f>
        <v>0.0789473684210526</v>
      </c>
      <c r="H29" s="11" t="str">
        <f aca="false">IF(G29="","",IF(G29&gt;=0.5,"Yes","No"))</f>
        <v>No</v>
      </c>
      <c r="I29" s="12" t="n">
        <f aca="false">IFERROR(AVERAGEIFS(History!$H$2:$H$401,History!$E$2:$E$401,E29,History!$F$2:$F$401,F29),"")</f>
        <v>0.0909090909090909</v>
      </c>
      <c r="J29" s="11" t="str">
        <f aca="false">IF(I29="","",IF(I29&gt;=0.5,"Yes","No"))</f>
        <v>No</v>
      </c>
      <c r="K29" s="12" t="n">
        <f aca="false">IFERROR(AVERAGEIFS(History!$H$2:$H$401,History!$E$2:$E$401,E29),"")</f>
        <v>0.0769230769230769</v>
      </c>
      <c r="L29" s="11" t="str">
        <f aca="false">IF(K29="","",IF(K29&gt;=0.5,"Yes","No"))</f>
        <v>No</v>
      </c>
    </row>
    <row r="30" customFormat="false" ht="15" hidden="false" customHeight="false" outlineLevel="0" collapsed="false">
      <c r="A30" s="10" t="n">
        <v>29</v>
      </c>
      <c r="B30" s="10" t="n">
        <v>58</v>
      </c>
      <c r="C30" s="10" t="s">
        <v>27</v>
      </c>
      <c r="D30" s="10" t="n">
        <v>33</v>
      </c>
      <c r="E30" s="11" t="str">
        <f aca="false">IF(B30&lt;50,"Low",IF(B30&lt;70,"Mid","High"))</f>
        <v>Mid</v>
      </c>
      <c r="F30" s="11" t="str">
        <f aca="false">IF(D30&lt;24,"Short","Long")</f>
        <v>Long</v>
      </c>
      <c r="G30" s="12" t="n">
        <f aca="false">IFERROR(AVERAGEIFS(History!$H$2:$H$401,History!$E$2:$E$401,E30,History!$C$2:$C$401,C30),"")</f>
        <v>0.0882352941176471</v>
      </c>
      <c r="H30" s="11" t="str">
        <f aca="false">IF(G30="","",IF(G30&gt;=0.5,"Yes","No"))</f>
        <v>No</v>
      </c>
      <c r="I30" s="12" t="n">
        <f aca="false">IFERROR(AVERAGEIFS(History!$H$2:$H$401,History!$E$2:$E$401,E30,History!$F$2:$F$401,F30),"")</f>
        <v>0.106382978723404</v>
      </c>
      <c r="J30" s="11" t="str">
        <f aca="false">IF(I30="","",IF(I30&gt;=0.5,"Yes","No"))</f>
        <v>No</v>
      </c>
      <c r="K30" s="12" t="n">
        <f aca="false">IFERROR(AVERAGEIFS(History!$H$2:$H$401,History!$E$2:$E$401,E30),"")</f>
        <v>0.34070796460177</v>
      </c>
      <c r="L30" s="11" t="str">
        <f aca="false">IF(K30="","",IF(K30&gt;=0.5,"Yes","No"))</f>
        <v>No</v>
      </c>
    </row>
    <row r="31" customFormat="false" ht="15" hidden="false" customHeight="false" outlineLevel="0" collapsed="false">
      <c r="A31" s="10" t="n">
        <v>30</v>
      </c>
      <c r="B31" s="10" t="n">
        <v>72</v>
      </c>
      <c r="C31" s="10" t="s">
        <v>27</v>
      </c>
      <c r="D31" s="10" t="n">
        <v>20</v>
      </c>
      <c r="E31" s="11" t="str">
        <f aca="false">IF(B31&lt;50,"Low",IF(B31&lt;70,"Mid","High"))</f>
        <v>High</v>
      </c>
      <c r="F31" s="11" t="str">
        <f aca="false">IF(D31&lt;24,"Short","Long")</f>
        <v>Short</v>
      </c>
      <c r="G31" s="12" t="n">
        <f aca="false">IFERROR(AVERAGEIFS(History!$H$2:$H$401,History!$E$2:$E$401,E31,History!$C$2:$C$401,C31),"")</f>
        <v>0.638297872340426</v>
      </c>
      <c r="H31" s="11" t="str">
        <f aca="false">IF(G31="","",IF(G31&gt;=0.5,"Yes","No"))</f>
        <v>Yes</v>
      </c>
      <c r="I31" s="12" t="n">
        <f aca="false">IFERROR(AVERAGEIFS(History!$H$2:$H$401,History!$E$2:$E$401,E31,History!$F$2:$F$401,F31),"")</f>
        <v>0.833333333333333</v>
      </c>
      <c r="J31" s="11" t="str">
        <f aca="false">IF(I31="","",IF(I31&gt;=0.5,"Yes","No"))</f>
        <v>Yes</v>
      </c>
      <c r="K31" s="12" t="n">
        <f aca="false">IFERROR(AVERAGEIFS(History!$H$2:$H$401,History!$E$2:$E$401,E31),"")</f>
        <v>0.739583333333333</v>
      </c>
      <c r="L31" s="11" t="str">
        <f aca="false">IF(K31="","",IF(K31&gt;=0.5,"Yes","No"))</f>
        <v>Yes</v>
      </c>
    </row>
    <row r="32" customFormat="false" ht="15" hidden="false" customHeight="false" outlineLevel="0" collapsed="false">
      <c r="A32" s="10" t="n">
        <v>31</v>
      </c>
      <c r="B32" s="10" t="n">
        <v>48</v>
      </c>
      <c r="C32" s="10" t="s">
        <v>27</v>
      </c>
      <c r="D32" s="10" t="n">
        <v>24</v>
      </c>
      <c r="E32" s="11" t="str">
        <f aca="false">IF(B32&lt;50,"Low",IF(B32&lt;70,"Mid","High"))</f>
        <v>Low</v>
      </c>
      <c r="F32" s="11" t="str">
        <f aca="false">IF(D32&lt;24,"Short","Long")</f>
        <v>Long</v>
      </c>
      <c r="G32" s="12" t="n">
        <f aca="false">IFERROR(AVERAGEIFS(History!$H$2:$H$401,History!$E$2:$E$401,E32,History!$C$2:$C$401,C32),"")</f>
        <v>0.075</v>
      </c>
      <c r="H32" s="11" t="str">
        <f aca="false">IF(G32="","",IF(G32&gt;=0.5,"Yes","No"))</f>
        <v>No</v>
      </c>
      <c r="I32" s="12" t="n">
        <f aca="false">IFERROR(AVERAGEIFS(History!$H$2:$H$401,History!$E$2:$E$401,E32,History!$F$2:$F$401,F32),"")</f>
        <v>0.0588235294117647</v>
      </c>
      <c r="J32" s="11" t="str">
        <f aca="false">IF(I32="","",IF(I32&gt;=0.5,"Yes","No"))</f>
        <v>No</v>
      </c>
      <c r="K32" s="12" t="n">
        <f aca="false">IFERROR(AVERAGEIFS(History!$H$2:$H$401,History!$E$2:$E$401,E32),"")</f>
        <v>0.0769230769230769</v>
      </c>
      <c r="L32" s="11" t="str">
        <f aca="false">IF(K32="","",IF(K32&gt;=0.5,"Yes","No"))</f>
        <v>No</v>
      </c>
    </row>
    <row r="33" customFormat="false" ht="15" hidden="false" customHeight="false" outlineLevel="0" collapsed="false">
      <c r="A33" s="10" t="n">
        <v>32</v>
      </c>
      <c r="B33" s="10" t="n">
        <v>58</v>
      </c>
      <c r="C33" s="10" t="s">
        <v>27</v>
      </c>
      <c r="D33" s="10" t="n">
        <v>32</v>
      </c>
      <c r="E33" s="11" t="str">
        <f aca="false">IF(B33&lt;50,"Low",IF(B33&lt;70,"Mid","High"))</f>
        <v>Mid</v>
      </c>
      <c r="F33" s="11" t="str">
        <f aca="false">IF(D33&lt;24,"Short","Long")</f>
        <v>Long</v>
      </c>
      <c r="G33" s="12" t="n">
        <f aca="false">IFERROR(AVERAGEIFS(History!$H$2:$H$401,History!$E$2:$E$401,E33,History!$C$2:$C$401,C33),"")</f>
        <v>0.0882352941176471</v>
      </c>
      <c r="H33" s="11" t="str">
        <f aca="false">IF(G33="","",IF(G33&gt;=0.5,"Yes","No"))</f>
        <v>No</v>
      </c>
      <c r="I33" s="12" t="n">
        <f aca="false">IFERROR(AVERAGEIFS(History!$H$2:$H$401,History!$E$2:$E$401,E33,History!$F$2:$F$401,F33),"")</f>
        <v>0.106382978723404</v>
      </c>
      <c r="J33" s="11" t="str">
        <f aca="false">IF(I33="","",IF(I33&gt;=0.5,"Yes","No"))</f>
        <v>No</v>
      </c>
      <c r="K33" s="12" t="n">
        <f aca="false">IFERROR(AVERAGEIFS(History!$H$2:$H$401,History!$E$2:$E$401,E33),"")</f>
        <v>0.34070796460177</v>
      </c>
      <c r="L33" s="11" t="str">
        <f aca="false">IF(K33="","",IF(K33&gt;=0.5,"Yes","No"))</f>
        <v>No</v>
      </c>
    </row>
    <row r="34" customFormat="false" ht="15" hidden="false" customHeight="false" outlineLevel="0" collapsed="false">
      <c r="A34" s="10" t="n">
        <v>33</v>
      </c>
      <c r="B34" s="10" t="n">
        <v>45</v>
      </c>
      <c r="C34" s="10" t="s">
        <v>27</v>
      </c>
      <c r="D34" s="10" t="n">
        <v>33</v>
      </c>
      <c r="E34" s="11" t="str">
        <f aca="false">IF(B34&lt;50,"Low",IF(B34&lt;70,"Mid","High"))</f>
        <v>Low</v>
      </c>
      <c r="F34" s="11" t="str">
        <f aca="false">IF(D34&lt;24,"Short","Long")</f>
        <v>Long</v>
      </c>
      <c r="G34" s="12" t="n">
        <f aca="false">IFERROR(AVERAGEIFS(History!$H$2:$H$401,History!$E$2:$E$401,E34,History!$C$2:$C$401,C34),"")</f>
        <v>0.075</v>
      </c>
      <c r="H34" s="11" t="str">
        <f aca="false">IF(G34="","",IF(G34&gt;=0.5,"Yes","No"))</f>
        <v>No</v>
      </c>
      <c r="I34" s="12" t="n">
        <f aca="false">IFERROR(AVERAGEIFS(History!$H$2:$H$401,History!$E$2:$E$401,E34,History!$F$2:$F$401,F34),"")</f>
        <v>0.0588235294117647</v>
      </c>
      <c r="J34" s="11" t="str">
        <f aca="false">IF(I34="","",IF(I34&gt;=0.5,"Yes","No"))</f>
        <v>No</v>
      </c>
      <c r="K34" s="12" t="n">
        <f aca="false">IFERROR(AVERAGEIFS(History!$H$2:$H$401,History!$E$2:$E$401,E34),"")</f>
        <v>0.0769230769230769</v>
      </c>
      <c r="L34" s="11" t="str">
        <f aca="false">IF(K34="","",IF(K34&gt;=0.5,"Yes","No"))</f>
        <v>No</v>
      </c>
    </row>
    <row r="35" customFormat="false" ht="15" hidden="false" customHeight="false" outlineLevel="0" collapsed="false">
      <c r="A35" s="10" t="n">
        <v>34</v>
      </c>
      <c r="B35" s="10" t="n">
        <v>57</v>
      </c>
      <c r="C35" s="10" t="s">
        <v>29</v>
      </c>
      <c r="D35" s="10" t="n">
        <v>17</v>
      </c>
      <c r="E35" s="11" t="str">
        <f aca="false">IF(B35&lt;50,"Low",IF(B35&lt;70,"Mid","High"))</f>
        <v>Mid</v>
      </c>
      <c r="F35" s="11" t="str">
        <f aca="false">IF(D35&lt;24,"Short","Long")</f>
        <v>Short</v>
      </c>
      <c r="G35" s="12" t="n">
        <f aca="false">IFERROR(AVERAGEIFS(History!$H$2:$H$401,History!$E$2:$E$401,E35,History!$C$2:$C$401,C35),"")</f>
        <v>0.548387096774194</v>
      </c>
      <c r="H35" s="11" t="str">
        <f aca="false">IF(G35="","",IF(G35&gt;=0.5,"Yes","No"))</f>
        <v>Yes</v>
      </c>
      <c r="I35" s="12" t="n">
        <f aca="false">IFERROR(AVERAGEIFS(History!$H$2:$H$401,History!$E$2:$E$401,E35,History!$F$2:$F$401,F35),"")</f>
        <v>0.507575757575758</v>
      </c>
      <c r="J35" s="11" t="str">
        <f aca="false">IF(I35="","",IF(I35&gt;=0.5,"Yes","No"))</f>
        <v>Yes</v>
      </c>
      <c r="K35" s="12" t="n">
        <f aca="false">IFERROR(AVERAGEIFS(History!$H$2:$H$401,History!$E$2:$E$401,E35),"")</f>
        <v>0.34070796460177</v>
      </c>
      <c r="L35" s="11" t="str">
        <f aca="false">IF(K35="","",IF(K35&gt;=0.5,"Yes","No"))</f>
        <v>No</v>
      </c>
    </row>
    <row r="36" customFormat="false" ht="15" hidden="false" customHeight="false" outlineLevel="0" collapsed="false">
      <c r="A36" s="10" t="n">
        <v>35</v>
      </c>
      <c r="B36" s="10" t="n">
        <v>74</v>
      </c>
      <c r="C36" s="10" t="s">
        <v>29</v>
      </c>
      <c r="D36" s="10" t="n">
        <v>21</v>
      </c>
      <c r="E36" s="11" t="str">
        <f aca="false">IF(B36&lt;50,"Low",IF(B36&lt;70,"Mid","High"))</f>
        <v>High</v>
      </c>
      <c r="F36" s="11" t="str">
        <f aca="false">IF(D36&lt;24,"Short","Long")</f>
        <v>Short</v>
      </c>
      <c r="G36" s="12" t="n">
        <f aca="false">IFERROR(AVERAGEIFS(History!$H$2:$H$401,History!$E$2:$E$401,E36,History!$C$2:$C$401,C36),"")</f>
        <v>0.836734693877551</v>
      </c>
      <c r="H36" s="11" t="str">
        <f aca="false">IF(G36="","",IF(G36&gt;=0.5,"Yes","No"))</f>
        <v>Yes</v>
      </c>
      <c r="I36" s="12" t="n">
        <f aca="false">IFERROR(AVERAGEIFS(History!$H$2:$H$401,History!$E$2:$E$401,E36,History!$F$2:$F$401,F36),"")</f>
        <v>0.833333333333333</v>
      </c>
      <c r="J36" s="11" t="str">
        <f aca="false">IF(I36="","",IF(I36&gt;=0.5,"Yes","No"))</f>
        <v>Yes</v>
      </c>
      <c r="K36" s="12" t="n">
        <f aca="false">IFERROR(AVERAGEIFS(History!$H$2:$H$401,History!$E$2:$E$401,E36),"")</f>
        <v>0.739583333333333</v>
      </c>
      <c r="L36" s="11" t="str">
        <f aca="false">IF(K36="","",IF(K36&gt;=0.5,"Yes","No"))</f>
        <v>Yes</v>
      </c>
    </row>
    <row r="37" customFormat="false" ht="15" hidden="false" customHeight="false" outlineLevel="0" collapsed="false">
      <c r="A37" s="10" t="n">
        <v>36</v>
      </c>
      <c r="B37" s="10" t="n">
        <v>67</v>
      </c>
      <c r="C37" s="10" t="s">
        <v>29</v>
      </c>
      <c r="D37" s="10" t="n">
        <v>11</v>
      </c>
      <c r="E37" s="11" t="str">
        <f aca="false">IF(B37&lt;50,"Low",IF(B37&lt;70,"Mid","High"))</f>
        <v>Mid</v>
      </c>
      <c r="F37" s="11" t="str">
        <f aca="false">IF(D37&lt;24,"Short","Long")</f>
        <v>Short</v>
      </c>
      <c r="G37" s="12" t="n">
        <f aca="false">IFERROR(AVERAGEIFS(History!$H$2:$H$401,History!$E$2:$E$401,E37,History!$C$2:$C$401,C37),"")</f>
        <v>0.548387096774194</v>
      </c>
      <c r="H37" s="11" t="str">
        <f aca="false">IF(G37="","",IF(G37&gt;=0.5,"Yes","No"))</f>
        <v>Yes</v>
      </c>
      <c r="I37" s="12" t="n">
        <f aca="false">IFERROR(AVERAGEIFS(History!$H$2:$H$401,History!$E$2:$E$401,E37,History!$F$2:$F$401,F37),"")</f>
        <v>0.507575757575758</v>
      </c>
      <c r="J37" s="11" t="str">
        <f aca="false">IF(I37="","",IF(I37&gt;=0.5,"Yes","No"))</f>
        <v>Yes</v>
      </c>
      <c r="K37" s="12" t="n">
        <f aca="false">IFERROR(AVERAGEIFS(History!$H$2:$H$401,History!$E$2:$E$401,E37),"")</f>
        <v>0.34070796460177</v>
      </c>
      <c r="L37" s="11" t="str">
        <f aca="false">IF(K37="","",IF(K37&gt;=0.5,"Yes","No"))</f>
        <v>No</v>
      </c>
    </row>
    <row r="38" customFormat="false" ht="15" hidden="false" customHeight="false" outlineLevel="0" collapsed="false">
      <c r="A38" s="10" t="n">
        <v>37</v>
      </c>
      <c r="B38" s="10" t="n">
        <v>38</v>
      </c>
      <c r="C38" s="10" t="s">
        <v>27</v>
      </c>
      <c r="D38" s="10" t="n">
        <v>26</v>
      </c>
      <c r="E38" s="11" t="str">
        <f aca="false">IF(B38&lt;50,"Low",IF(B38&lt;70,"Mid","High"))</f>
        <v>Low</v>
      </c>
      <c r="F38" s="11" t="str">
        <f aca="false">IF(D38&lt;24,"Short","Long")</f>
        <v>Long</v>
      </c>
      <c r="G38" s="12" t="n">
        <f aca="false">IFERROR(AVERAGEIFS(History!$H$2:$H$401,History!$E$2:$E$401,E38,History!$C$2:$C$401,C38),"")</f>
        <v>0.075</v>
      </c>
      <c r="H38" s="11" t="str">
        <f aca="false">IF(G38="","",IF(G38&gt;=0.5,"Yes","No"))</f>
        <v>No</v>
      </c>
      <c r="I38" s="12" t="n">
        <f aca="false">IFERROR(AVERAGEIFS(History!$H$2:$H$401,History!$E$2:$E$401,E38,History!$F$2:$F$401,F38),"")</f>
        <v>0.0588235294117647</v>
      </c>
      <c r="J38" s="11" t="str">
        <f aca="false">IF(I38="","",IF(I38&gt;=0.5,"Yes","No"))</f>
        <v>No</v>
      </c>
      <c r="K38" s="12" t="n">
        <f aca="false">IFERROR(AVERAGEIFS(History!$H$2:$H$401,History!$E$2:$E$401,E38),"")</f>
        <v>0.0769230769230769</v>
      </c>
      <c r="L38" s="11" t="str">
        <f aca="false">IF(K38="","",IF(K38&gt;=0.5,"Yes","No"))</f>
        <v>No</v>
      </c>
    </row>
    <row r="39" customFormat="false" ht="15" hidden="false" customHeight="false" outlineLevel="0" collapsed="false">
      <c r="A39" s="10" t="n">
        <v>38</v>
      </c>
      <c r="B39" s="10" t="n">
        <v>57</v>
      </c>
      <c r="C39" s="10" t="s">
        <v>29</v>
      </c>
      <c r="D39" s="10" t="n">
        <v>11</v>
      </c>
      <c r="E39" s="11" t="str">
        <f aca="false">IF(B39&lt;50,"Low",IF(B39&lt;70,"Mid","High"))</f>
        <v>Mid</v>
      </c>
      <c r="F39" s="11" t="str">
        <f aca="false">IF(D39&lt;24,"Short","Long")</f>
        <v>Short</v>
      </c>
      <c r="G39" s="12" t="n">
        <f aca="false">IFERROR(AVERAGEIFS(History!$H$2:$H$401,History!$E$2:$E$401,E39,History!$C$2:$C$401,C39),"")</f>
        <v>0.548387096774194</v>
      </c>
      <c r="H39" s="11" t="str">
        <f aca="false">IF(G39="","",IF(G39&gt;=0.5,"Yes","No"))</f>
        <v>Yes</v>
      </c>
      <c r="I39" s="12" t="n">
        <f aca="false">IFERROR(AVERAGEIFS(History!$H$2:$H$401,History!$E$2:$E$401,E39,History!$F$2:$F$401,F39),"")</f>
        <v>0.507575757575758</v>
      </c>
      <c r="J39" s="11" t="str">
        <f aca="false">IF(I39="","",IF(I39&gt;=0.5,"Yes","No"))</f>
        <v>Yes</v>
      </c>
      <c r="K39" s="12" t="n">
        <f aca="false">IFERROR(AVERAGEIFS(History!$H$2:$H$401,History!$E$2:$E$401,E39),"")</f>
        <v>0.34070796460177</v>
      </c>
      <c r="L39" s="11" t="str">
        <f aca="false">IF(K39="","",IF(K39&gt;=0.5,"Yes","No"))</f>
        <v>No</v>
      </c>
    </row>
    <row r="40" customFormat="false" ht="15" hidden="false" customHeight="false" outlineLevel="0" collapsed="false">
      <c r="A40" s="10" t="n">
        <v>39</v>
      </c>
      <c r="B40" s="10" t="n">
        <v>46</v>
      </c>
      <c r="C40" s="10" t="s">
        <v>29</v>
      </c>
      <c r="D40" s="10" t="n">
        <v>14</v>
      </c>
      <c r="E40" s="11" t="str">
        <f aca="false">IF(B40&lt;50,"Low",IF(B40&lt;70,"Mid","High"))</f>
        <v>Low</v>
      </c>
      <c r="F40" s="11" t="str">
        <f aca="false">IF(D40&lt;24,"Short","Long")</f>
        <v>Short</v>
      </c>
      <c r="G40" s="12" t="n">
        <f aca="false">IFERROR(AVERAGEIFS(History!$H$2:$H$401,History!$E$2:$E$401,E40,History!$C$2:$C$401,C40),"")</f>
        <v>0.0789473684210526</v>
      </c>
      <c r="H40" s="11" t="str">
        <f aca="false">IF(G40="","",IF(G40&gt;=0.5,"Yes","No"))</f>
        <v>No</v>
      </c>
      <c r="I40" s="12" t="n">
        <f aca="false">IFERROR(AVERAGEIFS(History!$H$2:$H$401,History!$E$2:$E$401,E40,History!$F$2:$F$401,F40),"")</f>
        <v>0.0909090909090909</v>
      </c>
      <c r="J40" s="11" t="str">
        <f aca="false">IF(I40="","",IF(I40&gt;=0.5,"Yes","No"))</f>
        <v>No</v>
      </c>
      <c r="K40" s="12" t="n">
        <f aca="false">IFERROR(AVERAGEIFS(History!$H$2:$H$401,History!$E$2:$E$401,E40),"")</f>
        <v>0.0769230769230769</v>
      </c>
      <c r="L40" s="11" t="str">
        <f aca="false">IF(K40="","",IF(K40&gt;=0.5,"Yes","No"))</f>
        <v>No</v>
      </c>
    </row>
    <row r="41" customFormat="false" ht="15" hidden="false" customHeight="false" outlineLevel="0" collapsed="false">
      <c r="A41" s="10" t="n">
        <v>40</v>
      </c>
      <c r="B41" s="10" t="n">
        <v>44</v>
      </c>
      <c r="C41" s="10" t="s">
        <v>27</v>
      </c>
      <c r="D41" s="10" t="n">
        <v>21</v>
      </c>
      <c r="E41" s="11" t="str">
        <f aca="false">IF(B41&lt;50,"Low",IF(B41&lt;70,"Mid","High"))</f>
        <v>Low</v>
      </c>
      <c r="F41" s="11" t="str">
        <f aca="false">IF(D41&lt;24,"Short","Long")</f>
        <v>Short</v>
      </c>
      <c r="G41" s="12" t="n">
        <f aca="false">IFERROR(AVERAGEIFS(History!$H$2:$H$401,History!$E$2:$E$401,E41,History!$C$2:$C$401,C41),"")</f>
        <v>0.075</v>
      </c>
      <c r="H41" s="11" t="str">
        <f aca="false">IF(G41="","",IF(G41&gt;=0.5,"Yes","No"))</f>
        <v>No</v>
      </c>
      <c r="I41" s="12" t="n">
        <f aca="false">IFERROR(AVERAGEIFS(History!$H$2:$H$401,History!$E$2:$E$401,E41,History!$F$2:$F$401,F41),"")</f>
        <v>0.0909090909090909</v>
      </c>
      <c r="J41" s="11" t="str">
        <f aca="false">IF(I41="","",IF(I41&gt;=0.5,"Yes","No"))</f>
        <v>No</v>
      </c>
      <c r="K41" s="12" t="n">
        <f aca="false">IFERROR(AVERAGEIFS(History!$H$2:$H$401,History!$E$2:$E$401,E41),"")</f>
        <v>0.0769230769230769</v>
      </c>
      <c r="L41" s="11" t="str">
        <f aca="false">IF(K41="","",IF(K41&gt;=0.5,"Yes","No"))</f>
        <v>No</v>
      </c>
    </row>
    <row r="42" customFormat="false" ht="15" hidden="false" customHeight="false" outlineLevel="0" collapsed="false">
      <c r="A42" s="10" t="n">
        <v>41</v>
      </c>
      <c r="B42" s="10" t="n">
        <v>71</v>
      </c>
      <c r="C42" s="10" t="s">
        <v>29</v>
      </c>
      <c r="D42" s="10" t="n">
        <v>16</v>
      </c>
      <c r="E42" s="11" t="str">
        <f aca="false">IF(B42&lt;50,"Low",IF(B42&lt;70,"Mid","High"))</f>
        <v>High</v>
      </c>
      <c r="F42" s="11" t="str">
        <f aca="false">IF(D42&lt;24,"Short","Long")</f>
        <v>Short</v>
      </c>
      <c r="G42" s="12" t="n">
        <f aca="false">IFERROR(AVERAGEIFS(History!$H$2:$H$401,History!$E$2:$E$401,E42,History!$C$2:$C$401,C42),"")</f>
        <v>0.836734693877551</v>
      </c>
      <c r="H42" s="11" t="str">
        <f aca="false">IF(G42="","",IF(G42&gt;=0.5,"Yes","No"))</f>
        <v>Yes</v>
      </c>
      <c r="I42" s="12" t="n">
        <f aca="false">IFERROR(AVERAGEIFS(History!$H$2:$H$401,History!$E$2:$E$401,E42,History!$F$2:$F$401,F42),"")</f>
        <v>0.833333333333333</v>
      </c>
      <c r="J42" s="11" t="str">
        <f aca="false">IF(I42="","",IF(I42&gt;=0.5,"Yes","No"))</f>
        <v>Yes</v>
      </c>
      <c r="K42" s="12" t="n">
        <f aca="false">IFERROR(AVERAGEIFS(History!$H$2:$H$401,History!$E$2:$E$401,E42),"")</f>
        <v>0.739583333333333</v>
      </c>
      <c r="L42" s="11" t="str">
        <f aca="false">IF(K42="","",IF(K42&gt;=0.5,"Yes","No"))</f>
        <v>Yes</v>
      </c>
    </row>
    <row r="43" customFormat="false" ht="15" hidden="false" customHeight="false" outlineLevel="0" collapsed="false">
      <c r="A43" s="10" t="n">
        <v>42</v>
      </c>
      <c r="B43" s="10" t="n">
        <v>58</v>
      </c>
      <c r="C43" s="10" t="s">
        <v>27</v>
      </c>
      <c r="D43" s="10" t="n">
        <v>38</v>
      </c>
      <c r="E43" s="11" t="str">
        <f aca="false">IF(B43&lt;50,"Low",IF(B43&lt;70,"Mid","High"))</f>
        <v>Mid</v>
      </c>
      <c r="F43" s="11" t="str">
        <f aca="false">IF(D43&lt;24,"Short","Long")</f>
        <v>Long</v>
      </c>
      <c r="G43" s="12" t="n">
        <f aca="false">IFERROR(AVERAGEIFS(History!$H$2:$H$401,History!$E$2:$E$401,E43,History!$C$2:$C$401,C43),"")</f>
        <v>0.0882352941176471</v>
      </c>
      <c r="H43" s="11" t="str">
        <f aca="false">IF(G43="","",IF(G43&gt;=0.5,"Yes","No"))</f>
        <v>No</v>
      </c>
      <c r="I43" s="12" t="n">
        <f aca="false">IFERROR(AVERAGEIFS(History!$H$2:$H$401,History!$E$2:$E$401,E43,History!$F$2:$F$401,F43),"")</f>
        <v>0.106382978723404</v>
      </c>
      <c r="J43" s="11" t="str">
        <f aca="false">IF(I43="","",IF(I43&gt;=0.5,"Yes","No"))</f>
        <v>No</v>
      </c>
      <c r="K43" s="12" t="n">
        <f aca="false">IFERROR(AVERAGEIFS(History!$H$2:$H$401,History!$E$2:$E$401,E43),"")</f>
        <v>0.34070796460177</v>
      </c>
      <c r="L43" s="11" t="str">
        <f aca="false">IF(K43="","",IF(K43&gt;=0.5,"Yes","No"))</f>
        <v>No</v>
      </c>
    </row>
    <row r="44" customFormat="false" ht="15" hidden="false" customHeight="false" outlineLevel="0" collapsed="false">
      <c r="A44" s="10" t="n">
        <v>43</v>
      </c>
      <c r="B44" s="10" t="n">
        <v>73</v>
      </c>
      <c r="C44" s="10" t="s">
        <v>29</v>
      </c>
      <c r="D44" s="10" t="n">
        <v>13</v>
      </c>
      <c r="E44" s="11" t="str">
        <f aca="false">IF(B44&lt;50,"Low",IF(B44&lt;70,"Mid","High"))</f>
        <v>High</v>
      </c>
      <c r="F44" s="11" t="str">
        <f aca="false">IF(D44&lt;24,"Short","Long")</f>
        <v>Short</v>
      </c>
      <c r="G44" s="12" t="n">
        <f aca="false">IFERROR(AVERAGEIFS(History!$H$2:$H$401,History!$E$2:$E$401,E44,History!$C$2:$C$401,C44),"")</f>
        <v>0.836734693877551</v>
      </c>
      <c r="H44" s="11" t="str">
        <f aca="false">IF(G44="","",IF(G44&gt;=0.5,"Yes","No"))</f>
        <v>Yes</v>
      </c>
      <c r="I44" s="12" t="n">
        <f aca="false">IFERROR(AVERAGEIFS(History!$H$2:$H$401,History!$E$2:$E$401,E44,History!$F$2:$F$401,F44),"")</f>
        <v>0.833333333333333</v>
      </c>
      <c r="J44" s="11" t="str">
        <f aca="false">IF(I44="","",IF(I44&gt;=0.5,"Yes","No"))</f>
        <v>Yes</v>
      </c>
      <c r="K44" s="12" t="n">
        <f aca="false">IFERROR(AVERAGEIFS(History!$H$2:$H$401,History!$E$2:$E$401,E44),"")</f>
        <v>0.739583333333333</v>
      </c>
      <c r="L44" s="11" t="str">
        <f aca="false">IF(K44="","",IF(K44&gt;=0.5,"Yes","No"))</f>
        <v>Yes</v>
      </c>
    </row>
    <row r="45" customFormat="false" ht="15" hidden="false" customHeight="false" outlineLevel="0" collapsed="false">
      <c r="A45" s="10" t="n">
        <v>44</v>
      </c>
      <c r="B45" s="10" t="n">
        <v>74</v>
      </c>
      <c r="C45" s="10" t="s">
        <v>29</v>
      </c>
      <c r="D45" s="10" t="n">
        <v>21</v>
      </c>
      <c r="E45" s="11" t="str">
        <f aca="false">IF(B45&lt;50,"Low",IF(B45&lt;70,"Mid","High"))</f>
        <v>High</v>
      </c>
      <c r="F45" s="11" t="str">
        <f aca="false">IF(D45&lt;24,"Short","Long")</f>
        <v>Short</v>
      </c>
      <c r="G45" s="12" t="n">
        <f aca="false">IFERROR(AVERAGEIFS(History!$H$2:$H$401,History!$E$2:$E$401,E45,History!$C$2:$C$401,C45),"")</f>
        <v>0.836734693877551</v>
      </c>
      <c r="H45" s="11" t="str">
        <f aca="false">IF(G45="","",IF(G45&gt;=0.5,"Yes","No"))</f>
        <v>Yes</v>
      </c>
      <c r="I45" s="12" t="n">
        <f aca="false">IFERROR(AVERAGEIFS(History!$H$2:$H$401,History!$E$2:$E$401,E45,History!$F$2:$F$401,F45),"")</f>
        <v>0.833333333333333</v>
      </c>
      <c r="J45" s="11" t="str">
        <f aca="false">IF(I45="","",IF(I45&gt;=0.5,"Yes","No"))</f>
        <v>Yes</v>
      </c>
      <c r="K45" s="12" t="n">
        <f aca="false">IFERROR(AVERAGEIFS(History!$H$2:$H$401,History!$E$2:$E$401,E45),"")</f>
        <v>0.739583333333333</v>
      </c>
      <c r="L45" s="11" t="str">
        <f aca="false">IF(K45="","",IF(K45&gt;=0.5,"Yes","No"))</f>
        <v>Yes</v>
      </c>
    </row>
    <row r="46" customFormat="false" ht="15" hidden="false" customHeight="false" outlineLevel="0" collapsed="false">
      <c r="A46" s="10" t="n">
        <v>45</v>
      </c>
      <c r="B46" s="10" t="n">
        <v>63</v>
      </c>
      <c r="C46" s="10" t="s">
        <v>27</v>
      </c>
      <c r="D46" s="10" t="n">
        <v>22</v>
      </c>
      <c r="E46" s="11" t="str">
        <f aca="false">IF(B46&lt;50,"Low",IF(B46&lt;70,"Mid","High"))</f>
        <v>Mid</v>
      </c>
      <c r="F46" s="11" t="str">
        <f aca="false">IF(D46&lt;24,"Short","Long")</f>
        <v>Short</v>
      </c>
      <c r="G46" s="12" t="n">
        <f aca="false">IFERROR(AVERAGEIFS(History!$H$2:$H$401,History!$E$2:$E$401,E46,History!$C$2:$C$401,C46),"")</f>
        <v>0.0882352941176471</v>
      </c>
      <c r="H46" s="11" t="str">
        <f aca="false">IF(G46="","",IF(G46&gt;=0.5,"Yes","No"))</f>
        <v>No</v>
      </c>
      <c r="I46" s="12" t="n">
        <f aca="false">IFERROR(AVERAGEIFS(History!$H$2:$H$401,History!$E$2:$E$401,E46,History!$F$2:$F$401,F46),"")</f>
        <v>0.507575757575758</v>
      </c>
      <c r="J46" s="11" t="str">
        <f aca="false">IF(I46="","",IF(I46&gt;=0.5,"Yes","No"))</f>
        <v>Yes</v>
      </c>
      <c r="K46" s="12" t="n">
        <f aca="false">IFERROR(AVERAGEIFS(History!$H$2:$H$401,History!$E$2:$E$401,E46),"")</f>
        <v>0.34070796460177</v>
      </c>
      <c r="L46" s="11" t="str">
        <f aca="false">IF(K46="","",IF(K46&gt;=0.5,"Yes","No"))</f>
        <v>No</v>
      </c>
    </row>
    <row r="47" customFormat="false" ht="15" hidden="false" customHeight="false" outlineLevel="0" collapsed="false">
      <c r="A47" s="10" t="n">
        <v>46</v>
      </c>
      <c r="B47" s="10" t="n">
        <v>73</v>
      </c>
      <c r="C47" s="10" t="s">
        <v>27</v>
      </c>
      <c r="D47" s="10" t="n">
        <v>38</v>
      </c>
      <c r="E47" s="11" t="str">
        <f aca="false">IF(B47&lt;50,"Low",IF(B47&lt;70,"Mid","High"))</f>
        <v>High</v>
      </c>
      <c r="F47" s="11" t="str">
        <f aca="false">IF(D47&lt;24,"Short","Long")</f>
        <v>Long</v>
      </c>
      <c r="G47" s="12" t="n">
        <f aca="false">IFERROR(AVERAGEIFS(History!$H$2:$H$401,History!$E$2:$E$401,E47,History!$C$2:$C$401,C47),"")</f>
        <v>0.638297872340426</v>
      </c>
      <c r="H47" s="11" t="str">
        <f aca="false">IF(G47="","",IF(G47&gt;=0.5,"Yes","No"))</f>
        <v>Yes</v>
      </c>
      <c r="I47" s="12" t="n">
        <f aca="false">IFERROR(AVERAGEIFS(History!$H$2:$H$401,History!$E$2:$E$401,E47,History!$F$2:$F$401,F47),"")</f>
        <v>0.619047619047619</v>
      </c>
      <c r="J47" s="11" t="str">
        <f aca="false">IF(I47="","",IF(I47&gt;=0.5,"Yes","No"))</f>
        <v>Yes</v>
      </c>
      <c r="K47" s="12" t="n">
        <f aca="false">IFERROR(AVERAGEIFS(History!$H$2:$H$401,History!$E$2:$E$401,E47),"")</f>
        <v>0.739583333333333</v>
      </c>
      <c r="L47" s="11" t="str">
        <f aca="false">IF(K47="","",IF(K47&gt;=0.5,"Yes","No"))</f>
        <v>Yes</v>
      </c>
    </row>
    <row r="48" customFormat="false" ht="15" hidden="false" customHeight="false" outlineLevel="0" collapsed="false">
      <c r="A48" s="10" t="n">
        <v>47</v>
      </c>
      <c r="B48" s="10" t="n">
        <v>49</v>
      </c>
      <c r="C48" s="10" t="s">
        <v>29</v>
      </c>
      <c r="D48" s="10" t="n">
        <v>13</v>
      </c>
      <c r="E48" s="11" t="str">
        <f aca="false">IF(B48&lt;50,"Low",IF(B48&lt;70,"Mid","High"))</f>
        <v>Low</v>
      </c>
      <c r="F48" s="11" t="str">
        <f aca="false">IF(D48&lt;24,"Short","Long")</f>
        <v>Short</v>
      </c>
      <c r="G48" s="12" t="n">
        <f aca="false">IFERROR(AVERAGEIFS(History!$H$2:$H$401,History!$E$2:$E$401,E48,History!$C$2:$C$401,C48),"")</f>
        <v>0.0789473684210526</v>
      </c>
      <c r="H48" s="11" t="str">
        <f aca="false">IF(G48="","",IF(G48&gt;=0.5,"Yes","No"))</f>
        <v>No</v>
      </c>
      <c r="I48" s="12" t="n">
        <f aca="false">IFERROR(AVERAGEIFS(History!$H$2:$H$401,History!$E$2:$E$401,E48,History!$F$2:$F$401,F48),"")</f>
        <v>0.0909090909090909</v>
      </c>
      <c r="J48" s="11" t="str">
        <f aca="false">IF(I48="","",IF(I48&gt;=0.5,"Yes","No"))</f>
        <v>No</v>
      </c>
      <c r="K48" s="12" t="n">
        <f aca="false">IFERROR(AVERAGEIFS(History!$H$2:$H$401,History!$E$2:$E$401,E48),"")</f>
        <v>0.0769230769230769</v>
      </c>
      <c r="L48" s="11" t="str">
        <f aca="false">IF(K48="","",IF(K48&gt;=0.5,"Yes","No"))</f>
        <v>No</v>
      </c>
    </row>
    <row r="49" customFormat="false" ht="15" hidden="false" customHeight="false" outlineLevel="0" collapsed="false">
      <c r="A49" s="10" t="n">
        <v>48</v>
      </c>
      <c r="B49" s="10" t="n">
        <v>57</v>
      </c>
      <c r="C49" s="10" t="s">
        <v>27</v>
      </c>
      <c r="D49" s="10" t="n">
        <v>40</v>
      </c>
      <c r="E49" s="11" t="str">
        <f aca="false">IF(B49&lt;50,"Low",IF(B49&lt;70,"Mid","High"))</f>
        <v>Mid</v>
      </c>
      <c r="F49" s="11" t="str">
        <f aca="false">IF(D49&lt;24,"Short","Long")</f>
        <v>Long</v>
      </c>
      <c r="G49" s="12" t="n">
        <f aca="false">IFERROR(AVERAGEIFS(History!$H$2:$H$401,History!$E$2:$E$401,E49,History!$C$2:$C$401,C49),"")</f>
        <v>0.0882352941176471</v>
      </c>
      <c r="H49" s="11" t="str">
        <f aca="false">IF(G49="","",IF(G49&gt;=0.5,"Yes","No"))</f>
        <v>No</v>
      </c>
      <c r="I49" s="12" t="n">
        <f aca="false">IFERROR(AVERAGEIFS(History!$H$2:$H$401,History!$E$2:$E$401,E49,History!$F$2:$F$401,F49),"")</f>
        <v>0.106382978723404</v>
      </c>
      <c r="J49" s="11" t="str">
        <f aca="false">IF(I49="","",IF(I49&gt;=0.5,"Yes","No"))</f>
        <v>No</v>
      </c>
      <c r="K49" s="12" t="n">
        <f aca="false">IFERROR(AVERAGEIFS(History!$H$2:$H$401,History!$E$2:$E$401,E49),"")</f>
        <v>0.34070796460177</v>
      </c>
      <c r="L49" s="11" t="str">
        <f aca="false">IF(K49="","",IF(K49&gt;=0.5,"Yes","No"))</f>
        <v>No</v>
      </c>
    </row>
    <row r="50" customFormat="false" ht="15" hidden="false" customHeight="false" outlineLevel="0" collapsed="false">
      <c r="A50" s="10" t="n">
        <v>49</v>
      </c>
      <c r="B50" s="10" t="n">
        <v>54</v>
      </c>
      <c r="C50" s="10" t="s">
        <v>29</v>
      </c>
      <c r="D50" s="10" t="n">
        <v>11</v>
      </c>
      <c r="E50" s="11" t="str">
        <f aca="false">IF(B50&lt;50,"Low",IF(B50&lt;70,"Mid","High"))</f>
        <v>Mid</v>
      </c>
      <c r="F50" s="11" t="str">
        <f aca="false">IF(D50&lt;24,"Short","Long")</f>
        <v>Short</v>
      </c>
      <c r="G50" s="12" t="n">
        <f aca="false">IFERROR(AVERAGEIFS(History!$H$2:$H$401,History!$E$2:$E$401,E50,History!$C$2:$C$401,C50),"")</f>
        <v>0.548387096774194</v>
      </c>
      <c r="H50" s="11" t="str">
        <f aca="false">IF(G50="","",IF(G50&gt;=0.5,"Yes","No"))</f>
        <v>Yes</v>
      </c>
      <c r="I50" s="12" t="n">
        <f aca="false">IFERROR(AVERAGEIFS(History!$H$2:$H$401,History!$E$2:$E$401,E50,History!$F$2:$F$401,F50),"")</f>
        <v>0.507575757575758</v>
      </c>
      <c r="J50" s="11" t="str">
        <f aca="false">IF(I50="","",IF(I50&gt;=0.5,"Yes","No"))</f>
        <v>Yes</v>
      </c>
      <c r="K50" s="12" t="n">
        <f aca="false">IFERROR(AVERAGEIFS(History!$H$2:$H$401,History!$E$2:$E$401,E50),"")</f>
        <v>0.34070796460177</v>
      </c>
      <c r="L50" s="11" t="str">
        <f aca="false">IF(K50="","",IF(K50&gt;=0.5,"Yes","No"))</f>
        <v>No</v>
      </c>
    </row>
    <row r="51" customFormat="false" ht="15" hidden="false" customHeight="false" outlineLevel="0" collapsed="false">
      <c r="A51" s="10" t="n">
        <v>50</v>
      </c>
      <c r="B51" s="10" t="n">
        <v>60</v>
      </c>
      <c r="C51" s="10" t="s">
        <v>27</v>
      </c>
      <c r="D51" s="10" t="n">
        <v>18</v>
      </c>
      <c r="E51" s="11" t="str">
        <f aca="false">IF(B51&lt;50,"Low",IF(B51&lt;70,"Mid","High"))</f>
        <v>Mid</v>
      </c>
      <c r="F51" s="11" t="str">
        <f aca="false">IF(D51&lt;24,"Short","Long")</f>
        <v>Short</v>
      </c>
      <c r="G51" s="12" t="n">
        <f aca="false">IFERROR(AVERAGEIFS(History!$H$2:$H$401,History!$E$2:$E$401,E51,History!$C$2:$C$401,C51),"")</f>
        <v>0.0882352941176471</v>
      </c>
      <c r="H51" s="11" t="str">
        <f aca="false">IF(G51="","",IF(G51&gt;=0.5,"Yes","No"))</f>
        <v>No</v>
      </c>
      <c r="I51" s="12" t="n">
        <f aca="false">IFERROR(AVERAGEIFS(History!$H$2:$H$401,History!$E$2:$E$401,E51,History!$F$2:$F$401,F51),"")</f>
        <v>0.507575757575758</v>
      </c>
      <c r="J51" s="11" t="str">
        <f aca="false">IF(I51="","",IF(I51&gt;=0.5,"Yes","No"))</f>
        <v>Yes</v>
      </c>
      <c r="K51" s="12" t="n">
        <f aca="false">IFERROR(AVERAGEIFS(History!$H$2:$H$401,History!$E$2:$E$401,E51),"")</f>
        <v>0.34070796460177</v>
      </c>
      <c r="L51" s="11" t="str">
        <f aca="false">IF(K51="","",IF(K51&gt;=0.5,"Yes","No"))</f>
        <v>No</v>
      </c>
    </row>
    <row r="52" customFormat="false" ht="15" hidden="false" customHeight="false" outlineLevel="0" collapsed="false">
      <c r="A52" s="10" t="n">
        <v>51</v>
      </c>
      <c r="B52" s="10" t="n">
        <v>74</v>
      </c>
      <c r="C52" s="10" t="s">
        <v>29</v>
      </c>
      <c r="D52" s="10" t="n">
        <v>3</v>
      </c>
      <c r="E52" s="11" t="str">
        <f aca="false">IF(B52&lt;50,"Low",IF(B52&lt;70,"Mid","High"))</f>
        <v>High</v>
      </c>
      <c r="F52" s="11" t="str">
        <f aca="false">IF(D52&lt;24,"Short","Long")</f>
        <v>Short</v>
      </c>
      <c r="G52" s="12" t="n">
        <f aca="false">IFERROR(AVERAGEIFS(History!$H$2:$H$401,History!$E$2:$E$401,E52,History!$C$2:$C$401,C52),"")</f>
        <v>0.836734693877551</v>
      </c>
      <c r="H52" s="11" t="str">
        <f aca="false">IF(G52="","",IF(G52&gt;=0.5,"Yes","No"))</f>
        <v>Yes</v>
      </c>
      <c r="I52" s="12" t="n">
        <f aca="false">IFERROR(AVERAGEIFS(History!$H$2:$H$401,History!$E$2:$E$401,E52,History!$F$2:$F$401,F52),"")</f>
        <v>0.833333333333333</v>
      </c>
      <c r="J52" s="11" t="str">
        <f aca="false">IF(I52="","",IF(I52&gt;=0.5,"Yes","No"))</f>
        <v>Yes</v>
      </c>
      <c r="K52" s="12" t="n">
        <f aca="false">IFERROR(AVERAGEIFS(History!$H$2:$H$401,History!$E$2:$E$401,E52),"")</f>
        <v>0.739583333333333</v>
      </c>
      <c r="L52" s="11" t="str">
        <f aca="false">IF(K52="","",IF(K52&gt;=0.5,"Yes","No"))</f>
        <v>Yes</v>
      </c>
    </row>
    <row r="53" customFormat="false" ht="15" hidden="false" customHeight="false" outlineLevel="0" collapsed="false">
      <c r="A53" s="10" t="n">
        <v>52</v>
      </c>
      <c r="B53" s="10" t="n">
        <v>75</v>
      </c>
      <c r="C53" s="10" t="s">
        <v>27</v>
      </c>
      <c r="D53" s="10" t="n">
        <v>22</v>
      </c>
      <c r="E53" s="11" t="str">
        <f aca="false">IF(B53&lt;50,"Low",IF(B53&lt;70,"Mid","High"))</f>
        <v>High</v>
      </c>
      <c r="F53" s="11" t="str">
        <f aca="false">IF(D53&lt;24,"Short","Long")</f>
        <v>Short</v>
      </c>
      <c r="G53" s="12" t="n">
        <f aca="false">IFERROR(AVERAGEIFS(History!$H$2:$H$401,History!$E$2:$E$401,E53,History!$C$2:$C$401,C53),"")</f>
        <v>0.638297872340426</v>
      </c>
      <c r="H53" s="11" t="str">
        <f aca="false">IF(G53="","",IF(G53&gt;=0.5,"Yes","No"))</f>
        <v>Yes</v>
      </c>
      <c r="I53" s="12" t="n">
        <f aca="false">IFERROR(AVERAGEIFS(History!$H$2:$H$401,History!$E$2:$E$401,E53,History!$F$2:$F$401,F53),"")</f>
        <v>0.833333333333333</v>
      </c>
      <c r="J53" s="11" t="str">
        <f aca="false">IF(I53="","",IF(I53&gt;=0.5,"Yes","No"))</f>
        <v>Yes</v>
      </c>
      <c r="K53" s="12" t="n">
        <f aca="false">IFERROR(AVERAGEIFS(History!$H$2:$H$401,History!$E$2:$E$401,E53),"")</f>
        <v>0.739583333333333</v>
      </c>
      <c r="L53" s="11" t="str">
        <f aca="false">IF(K53="","",IF(K53&gt;=0.5,"Yes","No"))</f>
        <v>Yes</v>
      </c>
    </row>
    <row r="54" customFormat="false" ht="15" hidden="false" customHeight="false" outlineLevel="0" collapsed="false">
      <c r="A54" s="10" t="n">
        <v>53</v>
      </c>
      <c r="B54" s="10" t="n">
        <v>66</v>
      </c>
      <c r="C54" s="10" t="s">
        <v>29</v>
      </c>
      <c r="D54" s="10" t="n">
        <v>10</v>
      </c>
      <c r="E54" s="11" t="str">
        <f aca="false">IF(B54&lt;50,"Low",IF(B54&lt;70,"Mid","High"))</f>
        <v>Mid</v>
      </c>
      <c r="F54" s="11" t="str">
        <f aca="false">IF(D54&lt;24,"Short","Long")</f>
        <v>Short</v>
      </c>
      <c r="G54" s="12" t="n">
        <f aca="false">IFERROR(AVERAGEIFS(History!$H$2:$H$401,History!$E$2:$E$401,E54,History!$C$2:$C$401,C54),"")</f>
        <v>0.548387096774194</v>
      </c>
      <c r="H54" s="11" t="str">
        <f aca="false">IF(G54="","",IF(G54&gt;=0.5,"Yes","No"))</f>
        <v>Yes</v>
      </c>
      <c r="I54" s="12" t="n">
        <f aca="false">IFERROR(AVERAGEIFS(History!$H$2:$H$401,History!$E$2:$E$401,E54,History!$F$2:$F$401,F54),"")</f>
        <v>0.507575757575758</v>
      </c>
      <c r="J54" s="11" t="str">
        <f aca="false">IF(I54="","",IF(I54&gt;=0.5,"Yes","No"))</f>
        <v>Yes</v>
      </c>
      <c r="K54" s="12" t="n">
        <f aca="false">IFERROR(AVERAGEIFS(History!$H$2:$H$401,History!$E$2:$E$401,E54),"")</f>
        <v>0.34070796460177</v>
      </c>
      <c r="L54" s="11" t="str">
        <f aca="false">IF(K54="","",IF(K54&gt;=0.5,"Yes","No"))</f>
        <v>No</v>
      </c>
    </row>
    <row r="55" customFormat="false" ht="15" hidden="false" customHeight="false" outlineLevel="0" collapsed="false">
      <c r="A55" s="10" t="n">
        <v>54</v>
      </c>
      <c r="B55" s="10" t="n">
        <v>73</v>
      </c>
      <c r="C55" s="10" t="s">
        <v>27</v>
      </c>
      <c r="D55" s="10" t="n">
        <v>35</v>
      </c>
      <c r="E55" s="11" t="str">
        <f aca="false">IF(B55&lt;50,"Low",IF(B55&lt;70,"Mid","High"))</f>
        <v>High</v>
      </c>
      <c r="F55" s="11" t="str">
        <f aca="false">IF(D55&lt;24,"Short","Long")</f>
        <v>Long</v>
      </c>
      <c r="G55" s="12" t="n">
        <f aca="false">IFERROR(AVERAGEIFS(History!$H$2:$H$401,History!$E$2:$E$401,E55,History!$C$2:$C$401,C55),"")</f>
        <v>0.638297872340426</v>
      </c>
      <c r="H55" s="11" t="str">
        <f aca="false">IF(G55="","",IF(G55&gt;=0.5,"Yes","No"))</f>
        <v>Yes</v>
      </c>
      <c r="I55" s="12" t="n">
        <f aca="false">IFERROR(AVERAGEIFS(History!$H$2:$H$401,History!$E$2:$E$401,E55,History!$F$2:$F$401,F55),"")</f>
        <v>0.619047619047619</v>
      </c>
      <c r="J55" s="11" t="str">
        <f aca="false">IF(I55="","",IF(I55&gt;=0.5,"Yes","No"))</f>
        <v>Yes</v>
      </c>
      <c r="K55" s="12" t="n">
        <f aca="false">IFERROR(AVERAGEIFS(History!$H$2:$H$401,History!$E$2:$E$401,E55),"")</f>
        <v>0.739583333333333</v>
      </c>
      <c r="L55" s="11" t="str">
        <f aca="false">IF(K55="","",IF(K55&gt;=0.5,"Yes","No"))</f>
        <v>Yes</v>
      </c>
    </row>
    <row r="56" customFormat="false" ht="15" hidden="false" customHeight="false" outlineLevel="0" collapsed="false">
      <c r="A56" s="10" t="n">
        <v>55</v>
      </c>
      <c r="B56" s="10" t="n">
        <v>66</v>
      </c>
      <c r="C56" s="10" t="s">
        <v>29</v>
      </c>
      <c r="D56" s="10" t="n">
        <v>17</v>
      </c>
      <c r="E56" s="11" t="str">
        <f aca="false">IF(B56&lt;50,"Low",IF(B56&lt;70,"Mid","High"))</f>
        <v>Mid</v>
      </c>
      <c r="F56" s="11" t="str">
        <f aca="false">IF(D56&lt;24,"Short","Long")</f>
        <v>Short</v>
      </c>
      <c r="G56" s="12" t="n">
        <f aca="false">IFERROR(AVERAGEIFS(History!$H$2:$H$401,History!$E$2:$E$401,E56,History!$C$2:$C$401,C56),"")</f>
        <v>0.548387096774194</v>
      </c>
      <c r="H56" s="11" t="str">
        <f aca="false">IF(G56="","",IF(G56&gt;=0.5,"Yes","No"))</f>
        <v>Yes</v>
      </c>
      <c r="I56" s="12" t="n">
        <f aca="false">IFERROR(AVERAGEIFS(History!$H$2:$H$401,History!$E$2:$E$401,E56,History!$F$2:$F$401,F56),"")</f>
        <v>0.507575757575758</v>
      </c>
      <c r="J56" s="11" t="str">
        <f aca="false">IF(I56="","",IF(I56&gt;=0.5,"Yes","No"))</f>
        <v>Yes</v>
      </c>
      <c r="K56" s="12" t="n">
        <f aca="false">IFERROR(AVERAGEIFS(History!$H$2:$H$401,History!$E$2:$E$401,E56),"")</f>
        <v>0.34070796460177</v>
      </c>
      <c r="L56" s="11" t="str">
        <f aca="false">IF(K56="","",IF(K56&gt;=0.5,"Yes","No"))</f>
        <v>No</v>
      </c>
    </row>
    <row r="57" customFormat="false" ht="15" hidden="false" customHeight="false" outlineLevel="0" collapsed="false">
      <c r="A57" s="10" t="n">
        <v>56</v>
      </c>
      <c r="B57" s="10" t="n">
        <v>93</v>
      </c>
      <c r="C57" s="10" t="s">
        <v>27</v>
      </c>
      <c r="D57" s="10" t="n">
        <v>15</v>
      </c>
      <c r="E57" s="11" t="str">
        <f aca="false">IF(B57&lt;50,"Low",IF(B57&lt;70,"Mid","High"))</f>
        <v>High</v>
      </c>
      <c r="F57" s="11" t="str">
        <f aca="false">IF(D57&lt;24,"Short","Long")</f>
        <v>Short</v>
      </c>
      <c r="G57" s="12" t="n">
        <f aca="false">IFERROR(AVERAGEIFS(History!$H$2:$H$401,History!$E$2:$E$401,E57,History!$C$2:$C$401,C57),"")</f>
        <v>0.638297872340426</v>
      </c>
      <c r="H57" s="11" t="str">
        <f aca="false">IF(G57="","",IF(G57&gt;=0.5,"Yes","No"))</f>
        <v>Yes</v>
      </c>
      <c r="I57" s="12" t="n">
        <f aca="false">IFERROR(AVERAGEIFS(History!$H$2:$H$401,History!$E$2:$E$401,E57,History!$F$2:$F$401,F57),"")</f>
        <v>0.833333333333333</v>
      </c>
      <c r="J57" s="11" t="str">
        <f aca="false">IF(I57="","",IF(I57&gt;=0.5,"Yes","No"))</f>
        <v>Yes</v>
      </c>
      <c r="K57" s="12" t="n">
        <f aca="false">IFERROR(AVERAGEIFS(History!$H$2:$H$401,History!$E$2:$E$401,E57),"")</f>
        <v>0.739583333333333</v>
      </c>
      <c r="L57" s="11" t="str">
        <f aca="false">IF(K57="","",IF(K57&gt;=0.5,"Yes","No"))</f>
        <v>Yes</v>
      </c>
    </row>
    <row r="58" customFormat="false" ht="15" hidden="false" customHeight="false" outlineLevel="0" collapsed="false">
      <c r="A58" s="10" t="n">
        <v>57</v>
      </c>
      <c r="B58" s="10" t="n">
        <v>48</v>
      </c>
      <c r="C58" s="10" t="s">
        <v>29</v>
      </c>
      <c r="D58" s="10" t="n">
        <v>7</v>
      </c>
      <c r="E58" s="11" t="str">
        <f aca="false">IF(B58&lt;50,"Low",IF(B58&lt;70,"Mid","High"))</f>
        <v>Low</v>
      </c>
      <c r="F58" s="11" t="str">
        <f aca="false">IF(D58&lt;24,"Short","Long")</f>
        <v>Short</v>
      </c>
      <c r="G58" s="12" t="n">
        <f aca="false">IFERROR(AVERAGEIFS(History!$H$2:$H$401,History!$E$2:$E$401,E58,History!$C$2:$C$401,C58),"")</f>
        <v>0.0789473684210526</v>
      </c>
      <c r="H58" s="11" t="str">
        <f aca="false">IF(G58="","",IF(G58&gt;=0.5,"Yes","No"))</f>
        <v>No</v>
      </c>
      <c r="I58" s="12" t="n">
        <f aca="false">IFERROR(AVERAGEIFS(History!$H$2:$H$401,History!$E$2:$E$401,E58,History!$F$2:$F$401,F58),"")</f>
        <v>0.0909090909090909</v>
      </c>
      <c r="J58" s="11" t="str">
        <f aca="false">IF(I58="","",IF(I58&gt;=0.5,"Yes","No"))</f>
        <v>No</v>
      </c>
      <c r="K58" s="12" t="n">
        <f aca="false">IFERROR(AVERAGEIFS(History!$H$2:$H$401,History!$E$2:$E$401,E58),"")</f>
        <v>0.0769230769230769</v>
      </c>
      <c r="L58" s="11" t="str">
        <f aca="false">IF(K58="","",IF(K58&gt;=0.5,"Yes","No"))</f>
        <v>No</v>
      </c>
    </row>
    <row r="59" customFormat="false" ht="15" hidden="false" customHeight="false" outlineLevel="0" collapsed="false">
      <c r="A59" s="10" t="n">
        <v>58</v>
      </c>
      <c r="B59" s="10" t="n">
        <v>82</v>
      </c>
      <c r="C59" s="10" t="s">
        <v>27</v>
      </c>
      <c r="D59" s="10" t="n">
        <v>35</v>
      </c>
      <c r="E59" s="11" t="str">
        <f aca="false">IF(B59&lt;50,"Low",IF(B59&lt;70,"Mid","High"))</f>
        <v>High</v>
      </c>
      <c r="F59" s="11" t="str">
        <f aca="false">IF(D59&lt;24,"Short","Long")</f>
        <v>Long</v>
      </c>
      <c r="G59" s="12" t="n">
        <f aca="false">IFERROR(AVERAGEIFS(History!$H$2:$H$401,History!$E$2:$E$401,E59,History!$C$2:$C$401,C59),"")</f>
        <v>0.638297872340426</v>
      </c>
      <c r="H59" s="11" t="str">
        <f aca="false">IF(G59="","",IF(G59&gt;=0.5,"Yes","No"))</f>
        <v>Yes</v>
      </c>
      <c r="I59" s="12" t="n">
        <f aca="false">IFERROR(AVERAGEIFS(History!$H$2:$H$401,History!$E$2:$E$401,E59,History!$F$2:$F$401,F59),"")</f>
        <v>0.619047619047619</v>
      </c>
      <c r="J59" s="11" t="str">
        <f aca="false">IF(I59="","",IF(I59&gt;=0.5,"Yes","No"))</f>
        <v>Yes</v>
      </c>
      <c r="K59" s="12" t="n">
        <f aca="false">IFERROR(AVERAGEIFS(History!$H$2:$H$401,History!$E$2:$E$401,E59),"")</f>
        <v>0.739583333333333</v>
      </c>
      <c r="L59" s="11" t="str">
        <f aca="false">IF(K59="","",IF(K59&gt;=0.5,"Yes","No"))</f>
        <v>Yes</v>
      </c>
    </row>
    <row r="60" customFormat="false" ht="15" hidden="false" customHeight="false" outlineLevel="0" collapsed="false">
      <c r="A60" s="10" t="n">
        <v>59</v>
      </c>
      <c r="B60" s="10" t="n">
        <v>74</v>
      </c>
      <c r="C60" s="10" t="s">
        <v>29</v>
      </c>
      <c r="D60" s="10" t="n">
        <v>21</v>
      </c>
      <c r="E60" s="11" t="str">
        <f aca="false">IF(B60&lt;50,"Low",IF(B60&lt;70,"Mid","High"))</f>
        <v>High</v>
      </c>
      <c r="F60" s="11" t="str">
        <f aca="false">IF(D60&lt;24,"Short","Long")</f>
        <v>Short</v>
      </c>
      <c r="G60" s="12" t="n">
        <f aca="false">IFERROR(AVERAGEIFS(History!$H$2:$H$401,History!$E$2:$E$401,E60,History!$C$2:$C$401,C60),"")</f>
        <v>0.836734693877551</v>
      </c>
      <c r="H60" s="11" t="str">
        <f aca="false">IF(G60="","",IF(G60&gt;=0.5,"Yes","No"))</f>
        <v>Yes</v>
      </c>
      <c r="I60" s="12" t="n">
        <f aca="false">IFERROR(AVERAGEIFS(History!$H$2:$H$401,History!$E$2:$E$401,E60,History!$F$2:$F$401,F60),"")</f>
        <v>0.833333333333333</v>
      </c>
      <c r="J60" s="11" t="str">
        <f aca="false">IF(I60="","",IF(I60&gt;=0.5,"Yes","No"))</f>
        <v>Yes</v>
      </c>
      <c r="K60" s="12" t="n">
        <f aca="false">IFERROR(AVERAGEIFS(History!$H$2:$H$401,History!$E$2:$E$401,E60),"")</f>
        <v>0.739583333333333</v>
      </c>
      <c r="L60" s="11" t="str">
        <f aca="false">IF(K60="","",IF(K60&gt;=0.5,"Yes","No"))</f>
        <v>Yes</v>
      </c>
    </row>
    <row r="61" customFormat="false" ht="15" hidden="false" customHeight="false" outlineLevel="0" collapsed="false">
      <c r="A61" s="10" t="n">
        <v>60</v>
      </c>
      <c r="B61" s="10" t="n">
        <v>77</v>
      </c>
      <c r="C61" s="10" t="s">
        <v>27</v>
      </c>
      <c r="D61" s="10" t="n">
        <v>28</v>
      </c>
      <c r="E61" s="11" t="str">
        <f aca="false">IF(B61&lt;50,"Low",IF(B61&lt;70,"Mid","High"))</f>
        <v>High</v>
      </c>
      <c r="F61" s="11" t="str">
        <f aca="false">IF(D61&lt;24,"Short","Long")</f>
        <v>Long</v>
      </c>
      <c r="G61" s="12" t="n">
        <f aca="false">IFERROR(AVERAGEIFS(History!$H$2:$H$401,History!$E$2:$E$401,E61,History!$C$2:$C$401,C61),"")</f>
        <v>0.638297872340426</v>
      </c>
      <c r="H61" s="11" t="str">
        <f aca="false">IF(G61="","",IF(G61&gt;=0.5,"Yes","No"))</f>
        <v>Yes</v>
      </c>
      <c r="I61" s="12" t="n">
        <f aca="false">IFERROR(AVERAGEIFS(History!$H$2:$H$401,History!$E$2:$E$401,E61,History!$F$2:$F$401,F61),"")</f>
        <v>0.619047619047619</v>
      </c>
      <c r="J61" s="11" t="str">
        <f aca="false">IF(I61="","",IF(I61&gt;=0.5,"Yes","No"))</f>
        <v>Yes</v>
      </c>
      <c r="K61" s="12" t="n">
        <f aca="false">IFERROR(AVERAGEIFS(History!$H$2:$H$401,History!$E$2:$E$401,E61),"")</f>
        <v>0.739583333333333</v>
      </c>
      <c r="L61" s="11" t="str">
        <f aca="false">IF(K61="","",IF(K61&gt;=0.5,"Yes","No"))</f>
        <v>Yes</v>
      </c>
    </row>
    <row r="62" customFormat="false" ht="15" hidden="false" customHeight="false" outlineLevel="0" collapsed="false">
      <c r="A62" s="10" t="n">
        <v>61</v>
      </c>
      <c r="B62" s="10" t="n">
        <v>34</v>
      </c>
      <c r="C62" s="10" t="s">
        <v>29</v>
      </c>
      <c r="D62" s="10" t="n">
        <v>14</v>
      </c>
      <c r="E62" s="11" t="str">
        <f aca="false">IF(B62&lt;50,"Low",IF(B62&lt;70,"Mid","High"))</f>
        <v>Low</v>
      </c>
      <c r="F62" s="11" t="str">
        <f aca="false">IF(D62&lt;24,"Short","Long")</f>
        <v>Short</v>
      </c>
      <c r="G62" s="12" t="n">
        <f aca="false">IFERROR(AVERAGEIFS(History!$H$2:$H$401,History!$E$2:$E$401,E62,History!$C$2:$C$401,C62),"")</f>
        <v>0.0789473684210526</v>
      </c>
      <c r="H62" s="11" t="str">
        <f aca="false">IF(G62="","",IF(G62&gt;=0.5,"Yes","No"))</f>
        <v>No</v>
      </c>
      <c r="I62" s="12" t="n">
        <f aca="false">IFERROR(AVERAGEIFS(History!$H$2:$H$401,History!$E$2:$E$401,E62,History!$F$2:$F$401,F62),"")</f>
        <v>0.0909090909090909</v>
      </c>
      <c r="J62" s="11" t="str">
        <f aca="false">IF(I62="","",IF(I62&gt;=0.5,"Yes","No"))</f>
        <v>No</v>
      </c>
      <c r="K62" s="12" t="n">
        <f aca="false">IFERROR(AVERAGEIFS(History!$H$2:$H$401,History!$E$2:$E$401,E62),"")</f>
        <v>0.0769230769230769</v>
      </c>
      <c r="L62" s="11" t="str">
        <f aca="false">IF(K62="","",IF(K62&gt;=0.5,"Yes","No"))</f>
        <v>No</v>
      </c>
    </row>
    <row r="63" customFormat="false" ht="15" hidden="false" customHeight="false" outlineLevel="0" collapsed="false">
      <c r="A63" s="10" t="n">
        <v>62</v>
      </c>
      <c r="B63" s="10" t="n">
        <v>60</v>
      </c>
      <c r="C63" s="10" t="s">
        <v>27</v>
      </c>
      <c r="D63" s="10" t="n">
        <v>25</v>
      </c>
      <c r="E63" s="11" t="str">
        <f aca="false">IF(B63&lt;50,"Low",IF(B63&lt;70,"Mid","High"))</f>
        <v>Mid</v>
      </c>
      <c r="F63" s="11" t="str">
        <f aca="false">IF(D63&lt;24,"Short","Long")</f>
        <v>Long</v>
      </c>
      <c r="G63" s="12" t="n">
        <f aca="false">IFERROR(AVERAGEIFS(History!$H$2:$H$401,History!$E$2:$E$401,E63,History!$C$2:$C$401,C63),"")</f>
        <v>0.0882352941176471</v>
      </c>
      <c r="H63" s="11" t="str">
        <f aca="false">IF(G63="","",IF(G63&gt;=0.5,"Yes","No"))</f>
        <v>No</v>
      </c>
      <c r="I63" s="12" t="n">
        <f aca="false">IFERROR(AVERAGEIFS(History!$H$2:$H$401,History!$E$2:$E$401,E63,History!$F$2:$F$401,F63),"")</f>
        <v>0.106382978723404</v>
      </c>
      <c r="J63" s="11" t="str">
        <f aca="false">IF(I63="","",IF(I63&gt;=0.5,"Yes","No"))</f>
        <v>No</v>
      </c>
      <c r="K63" s="12" t="n">
        <f aca="false">IFERROR(AVERAGEIFS(History!$H$2:$H$401,History!$E$2:$E$401,E63),"")</f>
        <v>0.34070796460177</v>
      </c>
      <c r="L63" s="11" t="str">
        <f aca="false">IF(K63="","",IF(K63&gt;=0.5,"Yes","No"))</f>
        <v>No</v>
      </c>
    </row>
    <row r="64" customFormat="false" ht="15" hidden="false" customHeight="false" outlineLevel="0" collapsed="false">
      <c r="A64" s="10" t="n">
        <v>63</v>
      </c>
      <c r="B64" s="10" t="n">
        <v>45</v>
      </c>
      <c r="C64" s="10" t="s">
        <v>27</v>
      </c>
      <c r="D64" s="10" t="n">
        <v>31</v>
      </c>
      <c r="E64" s="11" t="str">
        <f aca="false">IF(B64&lt;50,"Low",IF(B64&lt;70,"Mid","High"))</f>
        <v>Low</v>
      </c>
      <c r="F64" s="11" t="str">
        <f aca="false">IF(D64&lt;24,"Short","Long")</f>
        <v>Long</v>
      </c>
      <c r="G64" s="12" t="n">
        <f aca="false">IFERROR(AVERAGEIFS(History!$H$2:$H$401,History!$E$2:$E$401,E64,History!$C$2:$C$401,C64),"")</f>
        <v>0.075</v>
      </c>
      <c r="H64" s="11" t="str">
        <f aca="false">IF(G64="","",IF(G64&gt;=0.5,"Yes","No"))</f>
        <v>No</v>
      </c>
      <c r="I64" s="12" t="n">
        <f aca="false">IFERROR(AVERAGEIFS(History!$H$2:$H$401,History!$E$2:$E$401,E64,History!$F$2:$F$401,F64),"")</f>
        <v>0.0588235294117647</v>
      </c>
      <c r="J64" s="11" t="str">
        <f aca="false">IF(I64="","",IF(I64&gt;=0.5,"Yes","No"))</f>
        <v>No</v>
      </c>
      <c r="K64" s="12" t="n">
        <f aca="false">IFERROR(AVERAGEIFS(History!$H$2:$H$401,History!$E$2:$E$401,E64),"")</f>
        <v>0.0769230769230769</v>
      </c>
      <c r="L64" s="11" t="str">
        <f aca="false">IF(K64="","",IF(K64&gt;=0.5,"Yes","No"))</f>
        <v>No</v>
      </c>
    </row>
    <row r="65" customFormat="false" ht="15" hidden="false" customHeight="false" outlineLevel="0" collapsed="false">
      <c r="A65" s="10" t="n">
        <v>64</v>
      </c>
      <c r="B65" s="10" t="n">
        <v>77</v>
      </c>
      <c r="C65" s="10" t="s">
        <v>27</v>
      </c>
      <c r="D65" s="10" t="n">
        <v>28</v>
      </c>
      <c r="E65" s="11" t="str">
        <f aca="false">IF(B65&lt;50,"Low",IF(B65&lt;70,"Mid","High"))</f>
        <v>High</v>
      </c>
      <c r="F65" s="11" t="str">
        <f aca="false">IF(D65&lt;24,"Short","Long")</f>
        <v>Long</v>
      </c>
      <c r="G65" s="12" t="n">
        <f aca="false">IFERROR(AVERAGEIFS(History!$H$2:$H$401,History!$E$2:$E$401,E65,History!$C$2:$C$401,C65),"")</f>
        <v>0.638297872340426</v>
      </c>
      <c r="H65" s="11" t="str">
        <f aca="false">IF(G65="","",IF(G65&gt;=0.5,"Yes","No"))</f>
        <v>Yes</v>
      </c>
      <c r="I65" s="12" t="n">
        <f aca="false">IFERROR(AVERAGEIFS(History!$H$2:$H$401,History!$E$2:$E$401,E65,History!$F$2:$F$401,F65),"")</f>
        <v>0.619047619047619</v>
      </c>
      <c r="J65" s="11" t="str">
        <f aca="false">IF(I65="","",IF(I65&gt;=0.5,"Yes","No"))</f>
        <v>Yes</v>
      </c>
      <c r="K65" s="12" t="n">
        <f aca="false">IFERROR(AVERAGEIFS(History!$H$2:$H$401,History!$E$2:$E$401,E65),"")</f>
        <v>0.739583333333333</v>
      </c>
      <c r="L65" s="11" t="str">
        <f aca="false">IF(K65="","",IF(K65&gt;=0.5,"Yes","No"))</f>
        <v>Yes</v>
      </c>
    </row>
    <row r="66" customFormat="false" ht="15" hidden="false" customHeight="false" outlineLevel="0" collapsed="false">
      <c r="A66" s="10" t="n">
        <v>65</v>
      </c>
      <c r="B66" s="10" t="n">
        <v>74</v>
      </c>
      <c r="C66" s="10" t="s">
        <v>29</v>
      </c>
      <c r="D66" s="10" t="n">
        <v>9</v>
      </c>
      <c r="E66" s="11" t="str">
        <f aca="false">IF(B66&lt;50,"Low",IF(B66&lt;70,"Mid","High"))</f>
        <v>High</v>
      </c>
      <c r="F66" s="11" t="str">
        <f aca="false">IF(D66&lt;24,"Short","Long")</f>
        <v>Short</v>
      </c>
      <c r="G66" s="12" t="n">
        <f aca="false">IFERROR(AVERAGEIFS(History!$H$2:$H$401,History!$E$2:$E$401,E66,History!$C$2:$C$401,C66),"")</f>
        <v>0.836734693877551</v>
      </c>
      <c r="H66" s="11" t="str">
        <f aca="false">IF(G66="","",IF(G66&gt;=0.5,"Yes","No"))</f>
        <v>Yes</v>
      </c>
      <c r="I66" s="12" t="n">
        <f aca="false">IFERROR(AVERAGEIFS(History!$H$2:$H$401,History!$E$2:$E$401,E66,History!$F$2:$F$401,F66),"")</f>
        <v>0.833333333333333</v>
      </c>
      <c r="J66" s="11" t="str">
        <f aca="false">IF(I66="","",IF(I66&gt;=0.5,"Yes","No"))</f>
        <v>Yes</v>
      </c>
      <c r="K66" s="12" t="n">
        <f aca="false">IFERROR(AVERAGEIFS(History!$H$2:$H$401,History!$E$2:$E$401,E66),"")</f>
        <v>0.739583333333333</v>
      </c>
      <c r="L66" s="11" t="str">
        <f aca="false">IF(K66="","",IF(K66&gt;=0.5,"Yes","No"))</f>
        <v>Yes</v>
      </c>
    </row>
    <row r="67" customFormat="false" ht="15" hidden="false" customHeight="false" outlineLevel="0" collapsed="false">
      <c r="A67" s="10" t="n">
        <v>66</v>
      </c>
      <c r="B67" s="10" t="n">
        <v>66</v>
      </c>
      <c r="C67" s="10" t="s">
        <v>27</v>
      </c>
      <c r="D67" s="10" t="n">
        <v>8</v>
      </c>
      <c r="E67" s="11" t="str">
        <f aca="false">IF(B67&lt;50,"Low",IF(B67&lt;70,"Mid","High"))</f>
        <v>Mid</v>
      </c>
      <c r="F67" s="11" t="str">
        <f aca="false">IF(D67&lt;24,"Short","Long")</f>
        <v>Short</v>
      </c>
      <c r="G67" s="12" t="n">
        <f aca="false">IFERROR(AVERAGEIFS(History!$H$2:$H$401,History!$E$2:$E$401,E67,History!$C$2:$C$401,C67),"")</f>
        <v>0.0882352941176471</v>
      </c>
      <c r="H67" s="11" t="str">
        <f aca="false">IF(G67="","",IF(G67&gt;=0.5,"Yes","No"))</f>
        <v>No</v>
      </c>
      <c r="I67" s="12" t="n">
        <f aca="false">IFERROR(AVERAGEIFS(History!$H$2:$H$401,History!$E$2:$E$401,E67,History!$F$2:$F$401,F67),"")</f>
        <v>0.507575757575758</v>
      </c>
      <c r="J67" s="11" t="str">
        <f aca="false">IF(I67="","",IF(I67&gt;=0.5,"Yes","No"))</f>
        <v>Yes</v>
      </c>
      <c r="K67" s="12" t="n">
        <f aca="false">IFERROR(AVERAGEIFS(History!$H$2:$H$401,History!$E$2:$E$401,E67),"")</f>
        <v>0.34070796460177</v>
      </c>
      <c r="L67" s="11" t="str">
        <f aca="false">IF(K67="","",IF(K67&gt;=0.5,"Yes","No"))</f>
        <v>No</v>
      </c>
    </row>
    <row r="68" customFormat="false" ht="15" hidden="false" customHeight="false" outlineLevel="0" collapsed="false">
      <c r="A68" s="10" t="n">
        <v>67</v>
      </c>
      <c r="B68" s="10" t="n">
        <v>66</v>
      </c>
      <c r="C68" s="10" t="s">
        <v>27</v>
      </c>
      <c r="D68" s="10" t="n">
        <v>30</v>
      </c>
      <c r="E68" s="11" t="str">
        <f aca="false">IF(B68&lt;50,"Low",IF(B68&lt;70,"Mid","High"))</f>
        <v>Mid</v>
      </c>
      <c r="F68" s="11" t="str">
        <f aca="false">IF(D68&lt;24,"Short","Long")</f>
        <v>Long</v>
      </c>
      <c r="G68" s="12" t="n">
        <f aca="false">IFERROR(AVERAGEIFS(History!$H$2:$H$401,History!$E$2:$E$401,E68,History!$C$2:$C$401,C68),"")</f>
        <v>0.0882352941176471</v>
      </c>
      <c r="H68" s="11" t="str">
        <f aca="false">IF(G68="","",IF(G68&gt;=0.5,"Yes","No"))</f>
        <v>No</v>
      </c>
      <c r="I68" s="12" t="n">
        <f aca="false">IFERROR(AVERAGEIFS(History!$H$2:$H$401,History!$E$2:$E$401,E68,History!$F$2:$F$401,F68),"")</f>
        <v>0.106382978723404</v>
      </c>
      <c r="J68" s="11" t="str">
        <f aca="false">IF(I68="","",IF(I68&gt;=0.5,"Yes","No"))</f>
        <v>No</v>
      </c>
      <c r="K68" s="12" t="n">
        <f aca="false">IFERROR(AVERAGEIFS(History!$H$2:$H$401,History!$E$2:$E$401,E68),"")</f>
        <v>0.34070796460177</v>
      </c>
      <c r="L68" s="11" t="str">
        <f aca="false">IF(K68="","",IF(K68&gt;=0.5,"Yes","No"))</f>
        <v>No</v>
      </c>
    </row>
    <row r="69" customFormat="false" ht="15" hidden="false" customHeight="false" outlineLevel="0" collapsed="false">
      <c r="A69" s="10" t="n">
        <v>68</v>
      </c>
      <c r="B69" s="10" t="n">
        <v>61</v>
      </c>
      <c r="C69" s="10" t="s">
        <v>29</v>
      </c>
      <c r="D69" s="10" t="n">
        <v>3</v>
      </c>
      <c r="E69" s="11" t="str">
        <f aca="false">IF(B69&lt;50,"Low",IF(B69&lt;70,"Mid","High"))</f>
        <v>Mid</v>
      </c>
      <c r="F69" s="11" t="str">
        <f aca="false">IF(D69&lt;24,"Short","Long")</f>
        <v>Short</v>
      </c>
      <c r="G69" s="12" t="n">
        <f aca="false">IFERROR(AVERAGEIFS(History!$H$2:$H$401,History!$E$2:$E$401,E69,History!$C$2:$C$401,C69),"")</f>
        <v>0.548387096774194</v>
      </c>
      <c r="H69" s="11" t="str">
        <f aca="false">IF(G69="","",IF(G69&gt;=0.5,"Yes","No"))</f>
        <v>Yes</v>
      </c>
      <c r="I69" s="12" t="n">
        <f aca="false">IFERROR(AVERAGEIFS(History!$H$2:$H$401,History!$E$2:$E$401,E69,History!$F$2:$F$401,F69),"")</f>
        <v>0.507575757575758</v>
      </c>
      <c r="J69" s="11" t="str">
        <f aca="false">IF(I69="","",IF(I69&gt;=0.5,"Yes","No"))</f>
        <v>Yes</v>
      </c>
      <c r="K69" s="12" t="n">
        <f aca="false">IFERROR(AVERAGEIFS(History!$H$2:$H$401,History!$E$2:$E$401,E69),"")</f>
        <v>0.34070796460177</v>
      </c>
      <c r="L69" s="11" t="str">
        <f aca="false">IF(K69="","",IF(K69&gt;=0.5,"Yes","No"))</f>
        <v>No</v>
      </c>
    </row>
    <row r="70" customFormat="false" ht="15" hidden="false" customHeight="false" outlineLevel="0" collapsed="false">
      <c r="A70" s="10" t="n">
        <v>69</v>
      </c>
      <c r="B70" s="10" t="n">
        <v>46</v>
      </c>
      <c r="C70" s="10" t="s">
        <v>27</v>
      </c>
      <c r="D70" s="10" t="n">
        <v>44</v>
      </c>
      <c r="E70" s="11" t="str">
        <f aca="false">IF(B70&lt;50,"Low",IF(B70&lt;70,"Mid","High"))</f>
        <v>Low</v>
      </c>
      <c r="F70" s="11" t="str">
        <f aca="false">IF(D70&lt;24,"Short","Long")</f>
        <v>Long</v>
      </c>
      <c r="G70" s="12" t="n">
        <f aca="false">IFERROR(AVERAGEIFS(History!$H$2:$H$401,History!$E$2:$E$401,E70,History!$C$2:$C$401,C70),"")</f>
        <v>0.075</v>
      </c>
      <c r="H70" s="11" t="str">
        <f aca="false">IF(G70="","",IF(G70&gt;=0.5,"Yes","No"))</f>
        <v>No</v>
      </c>
      <c r="I70" s="12" t="n">
        <f aca="false">IFERROR(AVERAGEIFS(History!$H$2:$H$401,History!$E$2:$E$401,E70,History!$F$2:$F$401,F70),"")</f>
        <v>0.0588235294117647</v>
      </c>
      <c r="J70" s="11" t="str">
        <f aca="false">IF(I70="","",IF(I70&gt;=0.5,"Yes","No"))</f>
        <v>No</v>
      </c>
      <c r="K70" s="12" t="n">
        <f aca="false">IFERROR(AVERAGEIFS(History!$H$2:$H$401,History!$E$2:$E$401,E70),"")</f>
        <v>0.0769230769230769</v>
      </c>
      <c r="L70" s="11" t="str">
        <f aca="false">IF(K70="","",IF(K70&gt;=0.5,"Yes","No"))</f>
        <v>No</v>
      </c>
    </row>
    <row r="71" customFormat="false" ht="15" hidden="false" customHeight="false" outlineLevel="0" collapsed="false">
      <c r="A71" s="10" t="n">
        <v>70</v>
      </c>
      <c r="B71" s="10" t="n">
        <v>67</v>
      </c>
      <c r="C71" s="10" t="s">
        <v>27</v>
      </c>
      <c r="D71" s="10" t="n">
        <v>21</v>
      </c>
      <c r="E71" s="11" t="str">
        <f aca="false">IF(B71&lt;50,"Low",IF(B71&lt;70,"Mid","High"))</f>
        <v>Mid</v>
      </c>
      <c r="F71" s="11" t="str">
        <f aca="false">IF(D71&lt;24,"Short","Long")</f>
        <v>Short</v>
      </c>
      <c r="G71" s="12" t="n">
        <f aca="false">IFERROR(AVERAGEIFS(History!$H$2:$H$401,History!$E$2:$E$401,E71,History!$C$2:$C$401,C71),"")</f>
        <v>0.0882352941176471</v>
      </c>
      <c r="H71" s="11" t="str">
        <f aca="false">IF(G71="","",IF(G71&gt;=0.5,"Yes","No"))</f>
        <v>No</v>
      </c>
      <c r="I71" s="12" t="n">
        <f aca="false">IFERROR(AVERAGEIFS(History!$H$2:$H$401,History!$E$2:$E$401,E71,History!$F$2:$F$401,F71),"")</f>
        <v>0.507575757575758</v>
      </c>
      <c r="J71" s="11" t="str">
        <f aca="false">IF(I71="","",IF(I71&gt;=0.5,"Yes","No"))</f>
        <v>Yes</v>
      </c>
      <c r="K71" s="12" t="n">
        <f aca="false">IFERROR(AVERAGEIFS(History!$H$2:$H$401,History!$E$2:$E$401,E71),"")</f>
        <v>0.34070796460177</v>
      </c>
      <c r="L71" s="11" t="str">
        <f aca="false">IF(K71="","",IF(K71&gt;=0.5,"Yes","No"))</f>
        <v>No</v>
      </c>
    </row>
    <row r="72" customFormat="false" ht="15" hidden="false" customHeight="false" outlineLevel="0" collapsed="false">
      <c r="A72" s="10" t="n">
        <v>71</v>
      </c>
      <c r="B72" s="10" t="n">
        <v>58</v>
      </c>
      <c r="C72" s="10" t="s">
        <v>29</v>
      </c>
      <c r="D72" s="10" t="n">
        <v>6</v>
      </c>
      <c r="E72" s="11" t="str">
        <f aca="false">IF(B72&lt;50,"Low",IF(B72&lt;70,"Mid","High"))</f>
        <v>Mid</v>
      </c>
      <c r="F72" s="11" t="str">
        <f aca="false">IF(D72&lt;24,"Short","Long")</f>
        <v>Short</v>
      </c>
      <c r="G72" s="12" t="n">
        <f aca="false">IFERROR(AVERAGEIFS(History!$H$2:$H$401,History!$E$2:$E$401,E72,History!$C$2:$C$401,C72),"")</f>
        <v>0.548387096774194</v>
      </c>
      <c r="H72" s="11" t="str">
        <f aca="false">IF(G72="","",IF(G72&gt;=0.5,"Yes","No"))</f>
        <v>Yes</v>
      </c>
      <c r="I72" s="12" t="n">
        <f aca="false">IFERROR(AVERAGEIFS(History!$H$2:$H$401,History!$E$2:$E$401,E72,History!$F$2:$F$401,F72),"")</f>
        <v>0.507575757575758</v>
      </c>
      <c r="J72" s="11" t="str">
        <f aca="false">IF(I72="","",IF(I72&gt;=0.5,"Yes","No"))</f>
        <v>Yes</v>
      </c>
      <c r="K72" s="12" t="n">
        <f aca="false">IFERROR(AVERAGEIFS(History!$H$2:$H$401,History!$E$2:$E$401,E72),"")</f>
        <v>0.34070796460177</v>
      </c>
      <c r="L72" s="11" t="str">
        <f aca="false">IF(K72="","",IF(K72&gt;=0.5,"Yes","No"))</f>
        <v>No</v>
      </c>
    </row>
    <row r="73" customFormat="false" ht="15" hidden="false" customHeight="false" outlineLevel="0" collapsed="false">
      <c r="A73" s="10" t="n">
        <v>72</v>
      </c>
      <c r="B73" s="10" t="n">
        <v>70</v>
      </c>
      <c r="C73" s="10" t="s">
        <v>27</v>
      </c>
      <c r="D73" s="10" t="n">
        <v>42</v>
      </c>
      <c r="E73" s="11" t="str">
        <f aca="false">IF(B73&lt;50,"Low",IF(B73&lt;70,"Mid","High"))</f>
        <v>High</v>
      </c>
      <c r="F73" s="11" t="str">
        <f aca="false">IF(D73&lt;24,"Short","Long")</f>
        <v>Long</v>
      </c>
      <c r="G73" s="12" t="n">
        <f aca="false">IFERROR(AVERAGEIFS(History!$H$2:$H$401,History!$E$2:$E$401,E73,History!$C$2:$C$401,C73),"")</f>
        <v>0.638297872340426</v>
      </c>
      <c r="H73" s="11" t="str">
        <f aca="false">IF(G73="","",IF(G73&gt;=0.5,"Yes","No"))</f>
        <v>Yes</v>
      </c>
      <c r="I73" s="12" t="n">
        <f aca="false">IFERROR(AVERAGEIFS(History!$H$2:$H$401,History!$E$2:$E$401,E73,History!$F$2:$F$401,F73),"")</f>
        <v>0.619047619047619</v>
      </c>
      <c r="J73" s="11" t="str">
        <f aca="false">IF(I73="","",IF(I73&gt;=0.5,"Yes","No"))</f>
        <v>Yes</v>
      </c>
      <c r="K73" s="12" t="n">
        <f aca="false">IFERROR(AVERAGEIFS(History!$H$2:$H$401,History!$E$2:$E$401,E73),"")</f>
        <v>0.739583333333333</v>
      </c>
      <c r="L73" s="11" t="str">
        <f aca="false">IF(K73="","",IF(K73&gt;=0.5,"Yes","No"))</f>
        <v>Yes</v>
      </c>
    </row>
    <row r="74" customFormat="false" ht="15" hidden="false" customHeight="false" outlineLevel="0" collapsed="false">
      <c r="A74" s="10" t="n">
        <v>73</v>
      </c>
      <c r="B74" s="10" t="n">
        <v>66</v>
      </c>
      <c r="C74" s="10" t="s">
        <v>27</v>
      </c>
      <c r="D74" s="10" t="n">
        <v>38</v>
      </c>
      <c r="E74" s="11" t="str">
        <f aca="false">IF(B74&lt;50,"Low",IF(B74&lt;70,"Mid","High"))</f>
        <v>Mid</v>
      </c>
      <c r="F74" s="11" t="str">
        <f aca="false">IF(D74&lt;24,"Short","Long")</f>
        <v>Long</v>
      </c>
      <c r="G74" s="12" t="n">
        <f aca="false">IFERROR(AVERAGEIFS(History!$H$2:$H$401,History!$E$2:$E$401,E74,History!$C$2:$C$401,C74),"")</f>
        <v>0.0882352941176471</v>
      </c>
      <c r="H74" s="11" t="str">
        <f aca="false">IF(G74="","",IF(G74&gt;=0.5,"Yes","No"))</f>
        <v>No</v>
      </c>
      <c r="I74" s="12" t="n">
        <f aca="false">IFERROR(AVERAGEIFS(History!$H$2:$H$401,History!$E$2:$E$401,E74,History!$F$2:$F$401,F74),"")</f>
        <v>0.106382978723404</v>
      </c>
      <c r="J74" s="11" t="str">
        <f aca="false">IF(I74="","",IF(I74&gt;=0.5,"Yes","No"))</f>
        <v>No</v>
      </c>
      <c r="K74" s="12" t="n">
        <f aca="false">IFERROR(AVERAGEIFS(History!$H$2:$H$401,History!$E$2:$E$401,E74),"")</f>
        <v>0.34070796460177</v>
      </c>
      <c r="L74" s="11" t="str">
        <f aca="false">IF(K74="","",IF(K74&gt;=0.5,"Yes","No"))</f>
        <v>No</v>
      </c>
    </row>
    <row r="75" customFormat="false" ht="15" hidden="false" customHeight="false" outlineLevel="0" collapsed="false">
      <c r="A75" s="10" t="n">
        <v>74</v>
      </c>
      <c r="B75" s="10" t="n">
        <v>66</v>
      </c>
      <c r="C75" s="10" t="s">
        <v>27</v>
      </c>
      <c r="D75" s="10" t="n">
        <v>44</v>
      </c>
      <c r="E75" s="11" t="str">
        <f aca="false">IF(B75&lt;50,"Low",IF(B75&lt;70,"Mid","High"))</f>
        <v>Mid</v>
      </c>
      <c r="F75" s="11" t="str">
        <f aca="false">IF(D75&lt;24,"Short","Long")</f>
        <v>Long</v>
      </c>
      <c r="G75" s="12" t="n">
        <f aca="false">IFERROR(AVERAGEIFS(History!$H$2:$H$401,History!$E$2:$E$401,E75,History!$C$2:$C$401,C75),"")</f>
        <v>0.0882352941176471</v>
      </c>
      <c r="H75" s="11" t="str">
        <f aca="false">IF(G75="","",IF(G75&gt;=0.5,"Yes","No"))</f>
        <v>No</v>
      </c>
      <c r="I75" s="12" t="n">
        <f aca="false">IFERROR(AVERAGEIFS(History!$H$2:$H$401,History!$E$2:$E$401,E75,History!$F$2:$F$401,F75),"")</f>
        <v>0.106382978723404</v>
      </c>
      <c r="J75" s="11" t="str">
        <f aca="false">IF(I75="","",IF(I75&gt;=0.5,"Yes","No"))</f>
        <v>No</v>
      </c>
      <c r="K75" s="12" t="n">
        <f aca="false">IFERROR(AVERAGEIFS(History!$H$2:$H$401,History!$E$2:$E$401,E75),"")</f>
        <v>0.34070796460177</v>
      </c>
      <c r="L75" s="11" t="str">
        <f aca="false">IF(K75="","",IF(K75&gt;=0.5,"Yes","No"))</f>
        <v>No</v>
      </c>
    </row>
    <row r="76" customFormat="false" ht="15" hidden="false" customHeight="false" outlineLevel="0" collapsed="false">
      <c r="A76" s="10" t="n">
        <v>75</v>
      </c>
      <c r="B76" s="10" t="n">
        <v>61</v>
      </c>
      <c r="C76" s="10" t="s">
        <v>27</v>
      </c>
      <c r="D76" s="10" t="n">
        <v>43</v>
      </c>
      <c r="E76" s="11" t="str">
        <f aca="false">IF(B76&lt;50,"Low",IF(B76&lt;70,"Mid","High"))</f>
        <v>Mid</v>
      </c>
      <c r="F76" s="11" t="str">
        <f aca="false">IF(D76&lt;24,"Short","Long")</f>
        <v>Long</v>
      </c>
      <c r="G76" s="12" t="n">
        <f aca="false">IFERROR(AVERAGEIFS(History!$H$2:$H$401,History!$E$2:$E$401,E76,History!$C$2:$C$401,C76),"")</f>
        <v>0.0882352941176471</v>
      </c>
      <c r="H76" s="11" t="str">
        <f aca="false">IF(G76="","",IF(G76&gt;=0.5,"Yes","No"))</f>
        <v>No</v>
      </c>
      <c r="I76" s="12" t="n">
        <f aca="false">IFERROR(AVERAGEIFS(History!$H$2:$H$401,History!$E$2:$E$401,E76,History!$F$2:$F$401,F76),"")</f>
        <v>0.106382978723404</v>
      </c>
      <c r="J76" s="11" t="str">
        <f aca="false">IF(I76="","",IF(I76&gt;=0.5,"Yes","No"))</f>
        <v>No</v>
      </c>
      <c r="K76" s="12" t="n">
        <f aca="false">IFERROR(AVERAGEIFS(History!$H$2:$H$401,History!$E$2:$E$401,E76),"")</f>
        <v>0.34070796460177</v>
      </c>
      <c r="L76" s="11" t="str">
        <f aca="false">IF(K76="","",IF(K76&gt;=0.5,"Yes","No"))</f>
        <v>No</v>
      </c>
    </row>
    <row r="77" customFormat="false" ht="15" hidden="false" customHeight="false" outlineLevel="0" collapsed="false">
      <c r="A77" s="10" t="n">
        <v>76</v>
      </c>
      <c r="B77" s="10" t="n">
        <v>90</v>
      </c>
      <c r="C77" s="10" t="s">
        <v>27</v>
      </c>
      <c r="D77" s="10" t="n">
        <v>42</v>
      </c>
      <c r="E77" s="11" t="str">
        <f aca="false">IF(B77&lt;50,"Low",IF(B77&lt;70,"Mid","High"))</f>
        <v>High</v>
      </c>
      <c r="F77" s="11" t="str">
        <f aca="false">IF(D77&lt;24,"Short","Long")</f>
        <v>Long</v>
      </c>
      <c r="G77" s="12" t="n">
        <f aca="false">IFERROR(AVERAGEIFS(History!$H$2:$H$401,History!$E$2:$E$401,E77,History!$C$2:$C$401,C77),"")</f>
        <v>0.638297872340426</v>
      </c>
      <c r="H77" s="11" t="str">
        <f aca="false">IF(G77="","",IF(G77&gt;=0.5,"Yes","No"))</f>
        <v>Yes</v>
      </c>
      <c r="I77" s="12" t="n">
        <f aca="false">IFERROR(AVERAGEIFS(History!$H$2:$H$401,History!$E$2:$E$401,E77,History!$F$2:$F$401,F77),"")</f>
        <v>0.619047619047619</v>
      </c>
      <c r="J77" s="11" t="str">
        <f aca="false">IF(I77="","",IF(I77&gt;=0.5,"Yes","No"))</f>
        <v>Yes</v>
      </c>
      <c r="K77" s="12" t="n">
        <f aca="false">IFERROR(AVERAGEIFS(History!$H$2:$H$401,History!$E$2:$E$401,E77),"")</f>
        <v>0.739583333333333</v>
      </c>
      <c r="L77" s="11" t="str">
        <f aca="false">IF(K77="","",IF(K77&gt;=0.5,"Yes","No"))</f>
        <v>Yes</v>
      </c>
    </row>
    <row r="78" customFormat="false" ht="15" hidden="false" customHeight="false" outlineLevel="0" collapsed="false">
      <c r="A78" s="10" t="n">
        <v>77</v>
      </c>
      <c r="B78" s="10" t="n">
        <v>65</v>
      </c>
      <c r="C78" s="10" t="s">
        <v>29</v>
      </c>
      <c r="D78" s="10" t="n">
        <v>12</v>
      </c>
      <c r="E78" s="11" t="str">
        <f aca="false">IF(B78&lt;50,"Low",IF(B78&lt;70,"Mid","High"))</f>
        <v>Mid</v>
      </c>
      <c r="F78" s="11" t="str">
        <f aca="false">IF(D78&lt;24,"Short","Long")</f>
        <v>Short</v>
      </c>
      <c r="G78" s="12" t="n">
        <f aca="false">IFERROR(AVERAGEIFS(History!$H$2:$H$401,History!$E$2:$E$401,E78,History!$C$2:$C$401,C78),"")</f>
        <v>0.548387096774194</v>
      </c>
      <c r="H78" s="11" t="str">
        <f aca="false">IF(G78="","",IF(G78&gt;=0.5,"Yes","No"))</f>
        <v>Yes</v>
      </c>
      <c r="I78" s="12" t="n">
        <f aca="false">IFERROR(AVERAGEIFS(History!$H$2:$H$401,History!$E$2:$E$401,E78,History!$F$2:$F$401,F78),"")</f>
        <v>0.507575757575758</v>
      </c>
      <c r="J78" s="11" t="str">
        <f aca="false">IF(I78="","",IF(I78&gt;=0.5,"Yes","No"))</f>
        <v>Yes</v>
      </c>
      <c r="K78" s="12" t="n">
        <f aca="false">IFERROR(AVERAGEIFS(History!$H$2:$H$401,History!$E$2:$E$401,E78),"")</f>
        <v>0.34070796460177</v>
      </c>
      <c r="L78" s="11" t="str">
        <f aca="false">IF(K78="","",IF(K78&gt;=0.5,"Yes","No"))</f>
        <v>No</v>
      </c>
    </row>
    <row r="79" customFormat="false" ht="15" hidden="false" customHeight="false" outlineLevel="0" collapsed="false">
      <c r="A79" s="10" t="n">
        <v>78</v>
      </c>
      <c r="B79" s="10" t="n">
        <v>47</v>
      </c>
      <c r="C79" s="10" t="s">
        <v>29</v>
      </c>
      <c r="D79" s="10" t="n">
        <v>18</v>
      </c>
      <c r="E79" s="11" t="str">
        <f aca="false">IF(B79&lt;50,"Low",IF(B79&lt;70,"Mid","High"))</f>
        <v>Low</v>
      </c>
      <c r="F79" s="11" t="str">
        <f aca="false">IF(D79&lt;24,"Short","Long")</f>
        <v>Short</v>
      </c>
      <c r="G79" s="12" t="n">
        <f aca="false">IFERROR(AVERAGEIFS(History!$H$2:$H$401,History!$E$2:$E$401,E79,History!$C$2:$C$401,C79),"")</f>
        <v>0.0789473684210526</v>
      </c>
      <c r="H79" s="11" t="str">
        <f aca="false">IF(G79="","",IF(G79&gt;=0.5,"Yes","No"))</f>
        <v>No</v>
      </c>
      <c r="I79" s="12" t="n">
        <f aca="false">IFERROR(AVERAGEIFS(History!$H$2:$H$401,History!$E$2:$E$401,E79,History!$F$2:$F$401,F79),"")</f>
        <v>0.0909090909090909</v>
      </c>
      <c r="J79" s="11" t="str">
        <f aca="false">IF(I79="","",IF(I79&gt;=0.5,"Yes","No"))</f>
        <v>No</v>
      </c>
      <c r="K79" s="12" t="n">
        <f aca="false">IFERROR(AVERAGEIFS(History!$H$2:$H$401,History!$E$2:$E$401,E79),"")</f>
        <v>0.0769230769230769</v>
      </c>
      <c r="L79" s="11" t="str">
        <f aca="false">IF(K79="","",IF(K79&gt;=0.5,"Yes","No"))</f>
        <v>No</v>
      </c>
    </row>
    <row r="80" customFormat="false" ht="15" hidden="false" customHeight="false" outlineLevel="0" collapsed="false">
      <c r="A80" s="10" t="n">
        <v>79</v>
      </c>
      <c r="B80" s="10" t="n">
        <v>60</v>
      </c>
      <c r="C80" s="10" t="s">
        <v>29</v>
      </c>
      <c r="D80" s="10" t="n">
        <v>11</v>
      </c>
      <c r="E80" s="11" t="str">
        <f aca="false">IF(B80&lt;50,"Low",IF(B80&lt;70,"Mid","High"))</f>
        <v>Mid</v>
      </c>
      <c r="F80" s="11" t="str">
        <f aca="false">IF(D80&lt;24,"Short","Long")</f>
        <v>Short</v>
      </c>
      <c r="G80" s="12" t="n">
        <f aca="false">IFERROR(AVERAGEIFS(History!$H$2:$H$401,History!$E$2:$E$401,E80,History!$C$2:$C$401,C80),"")</f>
        <v>0.548387096774194</v>
      </c>
      <c r="H80" s="11" t="str">
        <f aca="false">IF(G80="","",IF(G80&gt;=0.5,"Yes","No"))</f>
        <v>Yes</v>
      </c>
      <c r="I80" s="12" t="n">
        <f aca="false">IFERROR(AVERAGEIFS(History!$H$2:$H$401,History!$E$2:$E$401,E80,History!$F$2:$F$401,F80),"")</f>
        <v>0.507575757575758</v>
      </c>
      <c r="J80" s="11" t="str">
        <f aca="false">IF(I80="","",IF(I80&gt;=0.5,"Yes","No"))</f>
        <v>Yes</v>
      </c>
      <c r="K80" s="12" t="n">
        <f aca="false">IFERROR(AVERAGEIFS(History!$H$2:$H$401,History!$E$2:$E$401,E80),"")</f>
        <v>0.34070796460177</v>
      </c>
      <c r="L80" s="11" t="str">
        <f aca="false">IF(K80="","",IF(K80&gt;=0.5,"Yes","No"))</f>
        <v>No</v>
      </c>
    </row>
    <row r="81" customFormat="false" ht="15" hidden="false" customHeight="false" outlineLevel="0" collapsed="false">
      <c r="A81" s="10" t="n">
        <v>80</v>
      </c>
      <c r="B81" s="10" t="n">
        <v>78</v>
      </c>
      <c r="C81" s="10" t="s">
        <v>29</v>
      </c>
      <c r="D81" s="10" t="n">
        <v>14</v>
      </c>
      <c r="E81" s="11" t="str">
        <f aca="false">IF(B81&lt;50,"Low",IF(B81&lt;70,"Mid","High"))</f>
        <v>High</v>
      </c>
      <c r="F81" s="11" t="str">
        <f aca="false">IF(D81&lt;24,"Short","Long")</f>
        <v>Short</v>
      </c>
      <c r="G81" s="12" t="n">
        <f aca="false">IFERROR(AVERAGEIFS(History!$H$2:$H$401,History!$E$2:$E$401,E81,History!$C$2:$C$401,C81),"")</f>
        <v>0.836734693877551</v>
      </c>
      <c r="H81" s="11" t="str">
        <f aca="false">IF(G81="","",IF(G81&gt;=0.5,"Yes","No"))</f>
        <v>Yes</v>
      </c>
      <c r="I81" s="12" t="n">
        <f aca="false">IFERROR(AVERAGEIFS(History!$H$2:$H$401,History!$E$2:$E$401,E81,History!$F$2:$F$401,F81),"")</f>
        <v>0.833333333333333</v>
      </c>
      <c r="J81" s="11" t="str">
        <f aca="false">IF(I81="","",IF(I81&gt;=0.5,"Yes","No"))</f>
        <v>Yes</v>
      </c>
      <c r="K81" s="12" t="n">
        <f aca="false">IFERROR(AVERAGEIFS(History!$H$2:$H$401,History!$E$2:$E$401,E81),"")</f>
        <v>0.739583333333333</v>
      </c>
      <c r="L81" s="11" t="str">
        <f aca="false">IF(K81="","",IF(K81&gt;=0.5,"Yes","No"))</f>
        <v>Yes</v>
      </c>
    </row>
    <row r="82" customFormat="false" ht="15" hidden="false" customHeight="false" outlineLevel="0" collapsed="false">
      <c r="A82" s="10" t="n">
        <v>81</v>
      </c>
      <c r="B82" s="10" t="n">
        <v>50</v>
      </c>
      <c r="C82" s="10" t="s">
        <v>29</v>
      </c>
      <c r="D82" s="10" t="n">
        <v>20</v>
      </c>
      <c r="E82" s="11" t="str">
        <f aca="false">IF(B82&lt;50,"Low",IF(B82&lt;70,"Mid","High"))</f>
        <v>Mid</v>
      </c>
      <c r="F82" s="11" t="str">
        <f aca="false">IF(D82&lt;24,"Short","Long")</f>
        <v>Short</v>
      </c>
      <c r="G82" s="12" t="n">
        <f aca="false">IFERROR(AVERAGEIFS(History!$H$2:$H$401,History!$E$2:$E$401,E82,History!$C$2:$C$401,C82),"")</f>
        <v>0.548387096774194</v>
      </c>
      <c r="H82" s="11" t="str">
        <f aca="false">IF(G82="","",IF(G82&gt;=0.5,"Yes","No"))</f>
        <v>Yes</v>
      </c>
      <c r="I82" s="12" t="n">
        <f aca="false">IFERROR(AVERAGEIFS(History!$H$2:$H$401,History!$E$2:$E$401,E82,History!$F$2:$F$401,F82),"")</f>
        <v>0.507575757575758</v>
      </c>
      <c r="J82" s="11" t="str">
        <f aca="false">IF(I82="","",IF(I82&gt;=0.5,"Yes","No"))</f>
        <v>Yes</v>
      </c>
      <c r="K82" s="12" t="n">
        <f aca="false">IFERROR(AVERAGEIFS(History!$H$2:$H$401,History!$E$2:$E$401,E82),"")</f>
        <v>0.34070796460177</v>
      </c>
      <c r="L82" s="11" t="str">
        <f aca="false">IF(K82="","",IF(K82&gt;=0.5,"Yes","No"))</f>
        <v>No</v>
      </c>
    </row>
    <row r="83" customFormat="false" ht="15" hidden="false" customHeight="false" outlineLevel="0" collapsed="false">
      <c r="A83" s="10" t="n">
        <v>82</v>
      </c>
      <c r="B83" s="10" t="n">
        <v>65</v>
      </c>
      <c r="C83" s="10" t="s">
        <v>29</v>
      </c>
      <c r="D83" s="10" t="n">
        <v>19</v>
      </c>
      <c r="E83" s="11" t="str">
        <f aca="false">IF(B83&lt;50,"Low",IF(B83&lt;70,"Mid","High"))</f>
        <v>Mid</v>
      </c>
      <c r="F83" s="11" t="str">
        <f aca="false">IF(D83&lt;24,"Short","Long")</f>
        <v>Short</v>
      </c>
      <c r="G83" s="12" t="n">
        <f aca="false">IFERROR(AVERAGEIFS(History!$H$2:$H$401,History!$E$2:$E$401,E83,History!$C$2:$C$401,C83),"")</f>
        <v>0.548387096774194</v>
      </c>
      <c r="H83" s="11" t="str">
        <f aca="false">IF(G83="","",IF(G83&gt;=0.5,"Yes","No"))</f>
        <v>Yes</v>
      </c>
      <c r="I83" s="12" t="n">
        <f aca="false">IFERROR(AVERAGEIFS(History!$H$2:$H$401,History!$E$2:$E$401,E83,History!$F$2:$F$401,F83),"")</f>
        <v>0.507575757575758</v>
      </c>
      <c r="J83" s="11" t="str">
        <f aca="false">IF(I83="","",IF(I83&gt;=0.5,"Yes","No"))</f>
        <v>Yes</v>
      </c>
      <c r="K83" s="12" t="n">
        <f aca="false">IFERROR(AVERAGEIFS(History!$H$2:$H$401,History!$E$2:$E$401,E83),"")</f>
        <v>0.34070796460177</v>
      </c>
      <c r="L83" s="11" t="str">
        <f aca="false">IF(K83="","",IF(K83&gt;=0.5,"Yes","No"))</f>
        <v>No</v>
      </c>
    </row>
    <row r="84" customFormat="false" ht="15" hidden="false" customHeight="false" outlineLevel="0" collapsed="false">
      <c r="A84" s="10" t="n">
        <v>83</v>
      </c>
      <c r="B84" s="10" t="n">
        <v>85</v>
      </c>
      <c r="C84" s="10" t="s">
        <v>27</v>
      </c>
      <c r="D84" s="10" t="n">
        <v>32</v>
      </c>
      <c r="E84" s="11" t="str">
        <f aca="false">IF(B84&lt;50,"Low",IF(B84&lt;70,"Mid","High"))</f>
        <v>High</v>
      </c>
      <c r="F84" s="11" t="str">
        <f aca="false">IF(D84&lt;24,"Short","Long")</f>
        <v>Long</v>
      </c>
      <c r="G84" s="12" t="n">
        <f aca="false">IFERROR(AVERAGEIFS(History!$H$2:$H$401,History!$E$2:$E$401,E84,History!$C$2:$C$401,C84),"")</f>
        <v>0.638297872340426</v>
      </c>
      <c r="H84" s="11" t="str">
        <f aca="false">IF(G84="","",IF(G84&gt;=0.5,"Yes","No"))</f>
        <v>Yes</v>
      </c>
      <c r="I84" s="12" t="n">
        <f aca="false">IFERROR(AVERAGEIFS(History!$H$2:$H$401,History!$E$2:$E$401,E84,History!$F$2:$F$401,F84),"")</f>
        <v>0.619047619047619</v>
      </c>
      <c r="J84" s="11" t="str">
        <f aca="false">IF(I84="","",IF(I84&gt;=0.5,"Yes","No"))</f>
        <v>Yes</v>
      </c>
      <c r="K84" s="12" t="n">
        <f aca="false">IFERROR(AVERAGEIFS(History!$H$2:$H$401,History!$E$2:$E$401,E84),"")</f>
        <v>0.739583333333333</v>
      </c>
      <c r="L84" s="11" t="str">
        <f aca="false">IF(K84="","",IF(K84&gt;=0.5,"Yes","No"))</f>
        <v>Yes</v>
      </c>
    </row>
    <row r="85" customFormat="false" ht="15" hidden="false" customHeight="false" outlineLevel="0" collapsed="false">
      <c r="A85" s="10" t="n">
        <v>84</v>
      </c>
      <c r="B85" s="10" t="n">
        <v>60</v>
      </c>
      <c r="C85" s="10" t="s">
        <v>27</v>
      </c>
      <c r="D85" s="10" t="n">
        <v>25</v>
      </c>
      <c r="E85" s="11" t="str">
        <f aca="false">IF(B85&lt;50,"Low",IF(B85&lt;70,"Mid","High"))</f>
        <v>Mid</v>
      </c>
      <c r="F85" s="11" t="str">
        <f aca="false">IF(D85&lt;24,"Short","Long")</f>
        <v>Long</v>
      </c>
      <c r="G85" s="12" t="n">
        <f aca="false">IFERROR(AVERAGEIFS(History!$H$2:$H$401,History!$E$2:$E$401,E85,History!$C$2:$C$401,C85),"")</f>
        <v>0.0882352941176471</v>
      </c>
      <c r="H85" s="11" t="str">
        <f aca="false">IF(G85="","",IF(G85&gt;=0.5,"Yes","No"))</f>
        <v>No</v>
      </c>
      <c r="I85" s="12" t="n">
        <f aca="false">IFERROR(AVERAGEIFS(History!$H$2:$H$401,History!$E$2:$E$401,E85,History!$F$2:$F$401,F85),"")</f>
        <v>0.106382978723404</v>
      </c>
      <c r="J85" s="11" t="str">
        <f aca="false">IF(I85="","",IF(I85&gt;=0.5,"Yes","No"))</f>
        <v>No</v>
      </c>
      <c r="K85" s="12" t="n">
        <f aca="false">IFERROR(AVERAGEIFS(History!$H$2:$H$401,History!$E$2:$E$401,E85),"")</f>
        <v>0.34070796460177</v>
      </c>
      <c r="L85" s="11" t="str">
        <f aca="false">IF(K85="","",IF(K85&gt;=0.5,"Yes","No"))</f>
        <v>No</v>
      </c>
    </row>
    <row r="86" customFormat="false" ht="15" hidden="false" customHeight="false" outlineLevel="0" collapsed="false">
      <c r="A86" s="10" t="n">
        <v>85</v>
      </c>
      <c r="B86" s="10" t="n">
        <v>66</v>
      </c>
      <c r="C86" s="10" t="s">
        <v>27</v>
      </c>
      <c r="D86" s="10" t="n">
        <v>32</v>
      </c>
      <c r="E86" s="11" t="str">
        <f aca="false">IF(B86&lt;50,"Low",IF(B86&lt;70,"Mid","High"))</f>
        <v>Mid</v>
      </c>
      <c r="F86" s="11" t="str">
        <f aca="false">IF(D86&lt;24,"Short","Long")</f>
        <v>Long</v>
      </c>
      <c r="G86" s="12" t="n">
        <f aca="false">IFERROR(AVERAGEIFS(History!$H$2:$H$401,History!$E$2:$E$401,E86,History!$C$2:$C$401,C86),"")</f>
        <v>0.0882352941176471</v>
      </c>
      <c r="H86" s="11" t="str">
        <f aca="false">IF(G86="","",IF(G86&gt;=0.5,"Yes","No"))</f>
        <v>No</v>
      </c>
      <c r="I86" s="12" t="n">
        <f aca="false">IFERROR(AVERAGEIFS(History!$H$2:$H$401,History!$E$2:$E$401,E86,History!$F$2:$F$401,F86),"")</f>
        <v>0.106382978723404</v>
      </c>
      <c r="J86" s="11" t="str">
        <f aca="false">IF(I86="","",IF(I86&gt;=0.5,"Yes","No"))</f>
        <v>No</v>
      </c>
      <c r="K86" s="12" t="n">
        <f aca="false">IFERROR(AVERAGEIFS(History!$H$2:$H$401,History!$E$2:$E$401,E86),"")</f>
        <v>0.34070796460177</v>
      </c>
      <c r="L86" s="11" t="str">
        <f aca="false">IF(K86="","",IF(K86&gt;=0.5,"Yes","No"))</f>
        <v>No</v>
      </c>
    </row>
    <row r="87" customFormat="false" ht="15" hidden="false" customHeight="false" outlineLevel="0" collapsed="false">
      <c r="A87" s="10" t="n">
        <v>86</v>
      </c>
      <c r="B87" s="10" t="n">
        <v>52</v>
      </c>
      <c r="C87" s="10" t="s">
        <v>27</v>
      </c>
      <c r="D87" s="10" t="n">
        <v>15</v>
      </c>
      <c r="E87" s="11" t="str">
        <f aca="false">IF(B87&lt;50,"Low",IF(B87&lt;70,"Mid","High"))</f>
        <v>Mid</v>
      </c>
      <c r="F87" s="11" t="str">
        <f aca="false">IF(D87&lt;24,"Short","Long")</f>
        <v>Short</v>
      </c>
      <c r="G87" s="12" t="n">
        <f aca="false">IFERROR(AVERAGEIFS(History!$H$2:$H$401,History!$E$2:$E$401,E87,History!$C$2:$C$401,C87),"")</f>
        <v>0.0882352941176471</v>
      </c>
      <c r="H87" s="11" t="str">
        <f aca="false">IF(G87="","",IF(G87&gt;=0.5,"Yes","No"))</f>
        <v>No</v>
      </c>
      <c r="I87" s="12" t="n">
        <f aca="false">IFERROR(AVERAGEIFS(History!$H$2:$H$401,History!$E$2:$E$401,E87,History!$F$2:$F$401,F87),"")</f>
        <v>0.507575757575758</v>
      </c>
      <c r="J87" s="11" t="str">
        <f aca="false">IF(I87="","",IF(I87&gt;=0.5,"Yes","No"))</f>
        <v>Yes</v>
      </c>
      <c r="K87" s="12" t="n">
        <f aca="false">IFERROR(AVERAGEIFS(History!$H$2:$H$401,History!$E$2:$E$401,E87),"")</f>
        <v>0.34070796460177</v>
      </c>
      <c r="L87" s="11" t="str">
        <f aca="false">IF(K87="","",IF(K87&gt;=0.5,"Yes","No"))</f>
        <v>No</v>
      </c>
    </row>
    <row r="88" customFormat="false" ht="15" hidden="false" customHeight="false" outlineLevel="0" collapsed="false">
      <c r="A88" s="10" t="n">
        <v>87</v>
      </c>
      <c r="B88" s="10" t="n">
        <v>63</v>
      </c>
      <c r="C88" s="10" t="s">
        <v>29</v>
      </c>
      <c r="D88" s="10" t="n">
        <v>16</v>
      </c>
      <c r="E88" s="11" t="str">
        <f aca="false">IF(B88&lt;50,"Low",IF(B88&lt;70,"Mid","High"))</f>
        <v>Mid</v>
      </c>
      <c r="F88" s="11" t="str">
        <f aca="false">IF(D88&lt;24,"Short","Long")</f>
        <v>Short</v>
      </c>
      <c r="G88" s="12" t="n">
        <f aca="false">IFERROR(AVERAGEIFS(History!$H$2:$H$401,History!$E$2:$E$401,E88,History!$C$2:$C$401,C88),"")</f>
        <v>0.548387096774194</v>
      </c>
      <c r="H88" s="11" t="str">
        <f aca="false">IF(G88="","",IF(G88&gt;=0.5,"Yes","No"))</f>
        <v>Yes</v>
      </c>
      <c r="I88" s="12" t="n">
        <f aca="false">IFERROR(AVERAGEIFS(History!$H$2:$H$401,History!$E$2:$E$401,E88,History!$F$2:$F$401,F88),"")</f>
        <v>0.507575757575758</v>
      </c>
      <c r="J88" s="11" t="str">
        <f aca="false">IF(I88="","",IF(I88&gt;=0.5,"Yes","No"))</f>
        <v>Yes</v>
      </c>
      <c r="K88" s="12" t="n">
        <f aca="false">IFERROR(AVERAGEIFS(History!$H$2:$H$401,History!$E$2:$E$401,E88),"")</f>
        <v>0.34070796460177</v>
      </c>
      <c r="L88" s="11" t="str">
        <f aca="false">IF(K88="","",IF(K88&gt;=0.5,"Yes","No"))</f>
        <v>No</v>
      </c>
    </row>
    <row r="89" customFormat="false" ht="15" hidden="false" customHeight="false" outlineLevel="0" collapsed="false">
      <c r="A89" s="10" t="n">
        <v>88</v>
      </c>
      <c r="B89" s="10" t="n">
        <v>95</v>
      </c>
      <c r="C89" s="10" t="s">
        <v>27</v>
      </c>
      <c r="D89" s="10" t="n">
        <v>29</v>
      </c>
      <c r="E89" s="11" t="str">
        <f aca="false">IF(B89&lt;50,"Low",IF(B89&lt;70,"Mid","High"))</f>
        <v>High</v>
      </c>
      <c r="F89" s="11" t="str">
        <f aca="false">IF(D89&lt;24,"Short","Long")</f>
        <v>Long</v>
      </c>
      <c r="G89" s="12" t="n">
        <f aca="false">IFERROR(AVERAGEIFS(History!$H$2:$H$401,History!$E$2:$E$401,E89,History!$C$2:$C$401,C89),"")</f>
        <v>0.638297872340426</v>
      </c>
      <c r="H89" s="11" t="str">
        <f aca="false">IF(G89="","",IF(G89&gt;=0.5,"Yes","No"))</f>
        <v>Yes</v>
      </c>
      <c r="I89" s="12" t="n">
        <f aca="false">IFERROR(AVERAGEIFS(History!$H$2:$H$401,History!$E$2:$E$401,E89,History!$F$2:$F$401,F89),"")</f>
        <v>0.619047619047619</v>
      </c>
      <c r="J89" s="11" t="str">
        <f aca="false">IF(I89="","",IF(I89&gt;=0.5,"Yes","No"))</f>
        <v>Yes</v>
      </c>
      <c r="K89" s="12" t="n">
        <f aca="false">IFERROR(AVERAGEIFS(History!$H$2:$H$401,History!$E$2:$E$401,E89),"")</f>
        <v>0.739583333333333</v>
      </c>
      <c r="L89" s="11" t="str">
        <f aca="false">IF(K89="","",IF(K89&gt;=0.5,"Yes","No"))</f>
        <v>Yes</v>
      </c>
    </row>
    <row r="90" customFormat="false" ht="15" hidden="false" customHeight="false" outlineLevel="0" collapsed="false">
      <c r="A90" s="10" t="n">
        <v>89</v>
      </c>
      <c r="B90" s="10" t="n">
        <v>68</v>
      </c>
      <c r="C90" s="10" t="s">
        <v>29</v>
      </c>
      <c r="D90" s="10" t="n">
        <v>21</v>
      </c>
      <c r="E90" s="11" t="str">
        <f aca="false">IF(B90&lt;50,"Low",IF(B90&lt;70,"Mid","High"))</f>
        <v>Mid</v>
      </c>
      <c r="F90" s="11" t="str">
        <f aca="false">IF(D90&lt;24,"Short","Long")</f>
        <v>Short</v>
      </c>
      <c r="G90" s="12" t="n">
        <f aca="false">IFERROR(AVERAGEIFS(History!$H$2:$H$401,History!$E$2:$E$401,E90,History!$C$2:$C$401,C90),"")</f>
        <v>0.548387096774194</v>
      </c>
      <c r="H90" s="11" t="str">
        <f aca="false">IF(G90="","",IF(G90&gt;=0.5,"Yes","No"))</f>
        <v>Yes</v>
      </c>
      <c r="I90" s="12" t="n">
        <f aca="false">IFERROR(AVERAGEIFS(History!$H$2:$H$401,History!$E$2:$E$401,E90,History!$F$2:$F$401,F90),"")</f>
        <v>0.507575757575758</v>
      </c>
      <c r="J90" s="11" t="str">
        <f aca="false">IF(I90="","",IF(I90&gt;=0.5,"Yes","No"))</f>
        <v>Yes</v>
      </c>
      <c r="K90" s="12" t="n">
        <f aca="false">IFERROR(AVERAGEIFS(History!$H$2:$H$401,History!$E$2:$E$401,E90),"")</f>
        <v>0.34070796460177</v>
      </c>
      <c r="L90" s="11" t="str">
        <f aca="false">IF(K90="","",IF(K90&gt;=0.5,"Yes","No"))</f>
        <v>No</v>
      </c>
    </row>
    <row r="91" customFormat="false" ht="15" hidden="false" customHeight="false" outlineLevel="0" collapsed="false">
      <c r="A91" s="10" t="n">
        <v>90</v>
      </c>
      <c r="B91" s="10" t="n">
        <v>55</v>
      </c>
      <c r="C91" s="10" t="s">
        <v>27</v>
      </c>
      <c r="D91" s="10" t="n">
        <v>34</v>
      </c>
      <c r="E91" s="11" t="str">
        <f aca="false">IF(B91&lt;50,"Low",IF(B91&lt;70,"Mid","High"))</f>
        <v>Mid</v>
      </c>
      <c r="F91" s="11" t="str">
        <f aca="false">IF(D91&lt;24,"Short","Long")</f>
        <v>Long</v>
      </c>
      <c r="G91" s="12" t="n">
        <f aca="false">IFERROR(AVERAGEIFS(History!$H$2:$H$401,History!$E$2:$E$401,E91,History!$C$2:$C$401,C91),"")</f>
        <v>0.0882352941176471</v>
      </c>
      <c r="H91" s="11" t="str">
        <f aca="false">IF(G91="","",IF(G91&gt;=0.5,"Yes","No"))</f>
        <v>No</v>
      </c>
      <c r="I91" s="12" t="n">
        <f aca="false">IFERROR(AVERAGEIFS(History!$H$2:$H$401,History!$E$2:$E$401,E91,History!$F$2:$F$401,F91),"")</f>
        <v>0.106382978723404</v>
      </c>
      <c r="J91" s="11" t="str">
        <f aca="false">IF(I91="","",IF(I91&gt;=0.5,"Yes","No"))</f>
        <v>No</v>
      </c>
      <c r="K91" s="12" t="n">
        <f aca="false">IFERROR(AVERAGEIFS(History!$H$2:$H$401,History!$E$2:$E$401,E91),"")</f>
        <v>0.34070796460177</v>
      </c>
      <c r="L91" s="11" t="str">
        <f aca="false">IF(K91="","",IF(K91&gt;=0.5,"Yes","No"))</f>
        <v>No</v>
      </c>
    </row>
    <row r="92" customFormat="false" ht="15" hidden="false" customHeight="false" outlineLevel="0" collapsed="false">
      <c r="A92" s="10" t="n">
        <v>91</v>
      </c>
      <c r="B92" s="10" t="n">
        <v>44</v>
      </c>
      <c r="C92" s="10" t="s">
        <v>27</v>
      </c>
      <c r="D92" s="10" t="n">
        <v>36</v>
      </c>
      <c r="E92" s="11" t="str">
        <f aca="false">IF(B92&lt;50,"Low",IF(B92&lt;70,"Mid","High"))</f>
        <v>Low</v>
      </c>
      <c r="F92" s="11" t="str">
        <f aca="false">IF(D92&lt;24,"Short","Long")</f>
        <v>Long</v>
      </c>
      <c r="G92" s="12" t="n">
        <f aca="false">IFERROR(AVERAGEIFS(History!$H$2:$H$401,History!$E$2:$E$401,E92,History!$C$2:$C$401,C92),"")</f>
        <v>0.075</v>
      </c>
      <c r="H92" s="11" t="str">
        <f aca="false">IF(G92="","",IF(G92&gt;=0.5,"Yes","No"))</f>
        <v>No</v>
      </c>
      <c r="I92" s="12" t="n">
        <f aca="false">IFERROR(AVERAGEIFS(History!$H$2:$H$401,History!$E$2:$E$401,E92,History!$F$2:$F$401,F92),"")</f>
        <v>0.0588235294117647</v>
      </c>
      <c r="J92" s="11" t="str">
        <f aca="false">IF(I92="","",IF(I92&gt;=0.5,"Yes","No"))</f>
        <v>No</v>
      </c>
      <c r="K92" s="12" t="n">
        <f aca="false">IFERROR(AVERAGEIFS(History!$H$2:$H$401,History!$E$2:$E$401,E92),"")</f>
        <v>0.0769230769230769</v>
      </c>
      <c r="L92" s="11" t="str">
        <f aca="false">IF(K92="","",IF(K92&gt;=0.5,"Yes","No"))</f>
        <v>No</v>
      </c>
    </row>
    <row r="93" customFormat="false" ht="15" hidden="false" customHeight="false" outlineLevel="0" collapsed="false">
      <c r="A93" s="10" t="n">
        <v>92</v>
      </c>
      <c r="B93" s="10" t="n">
        <v>58</v>
      </c>
      <c r="C93" s="10" t="s">
        <v>29</v>
      </c>
      <c r="D93" s="10" t="n">
        <v>16</v>
      </c>
      <c r="E93" s="11" t="str">
        <f aca="false">IF(B93&lt;50,"Low",IF(B93&lt;70,"Mid","High"))</f>
        <v>Mid</v>
      </c>
      <c r="F93" s="11" t="str">
        <f aca="false">IF(D93&lt;24,"Short","Long")</f>
        <v>Short</v>
      </c>
      <c r="G93" s="12" t="n">
        <f aca="false">IFERROR(AVERAGEIFS(History!$H$2:$H$401,History!$E$2:$E$401,E93,History!$C$2:$C$401,C93),"")</f>
        <v>0.548387096774194</v>
      </c>
      <c r="H93" s="11" t="str">
        <f aca="false">IF(G93="","",IF(G93&gt;=0.5,"Yes","No"))</f>
        <v>Yes</v>
      </c>
      <c r="I93" s="12" t="n">
        <f aca="false">IFERROR(AVERAGEIFS(History!$H$2:$H$401,History!$E$2:$E$401,E93,History!$F$2:$F$401,F93),"")</f>
        <v>0.507575757575758</v>
      </c>
      <c r="J93" s="11" t="str">
        <f aca="false">IF(I93="","",IF(I93&gt;=0.5,"Yes","No"))</f>
        <v>Yes</v>
      </c>
      <c r="K93" s="12" t="n">
        <f aca="false">IFERROR(AVERAGEIFS(History!$H$2:$H$401,History!$E$2:$E$401,E93),"")</f>
        <v>0.34070796460177</v>
      </c>
      <c r="L93" s="11" t="str">
        <f aca="false">IF(K93="","",IF(K93&gt;=0.5,"Yes","No"))</f>
        <v>No</v>
      </c>
    </row>
    <row r="94" customFormat="false" ht="15" hidden="false" customHeight="false" outlineLevel="0" collapsed="false">
      <c r="A94" s="10" t="n">
        <v>93</v>
      </c>
      <c r="B94" s="10" t="n">
        <v>87</v>
      </c>
      <c r="C94" s="10" t="s">
        <v>29</v>
      </c>
      <c r="D94" s="10" t="n">
        <v>17</v>
      </c>
      <c r="E94" s="11" t="str">
        <f aca="false">IF(B94&lt;50,"Low",IF(B94&lt;70,"Mid","High"))</f>
        <v>High</v>
      </c>
      <c r="F94" s="11" t="str">
        <f aca="false">IF(D94&lt;24,"Short","Long")</f>
        <v>Short</v>
      </c>
      <c r="G94" s="12" t="n">
        <f aca="false">IFERROR(AVERAGEIFS(History!$H$2:$H$401,History!$E$2:$E$401,E94,History!$C$2:$C$401,C94),"")</f>
        <v>0.836734693877551</v>
      </c>
      <c r="H94" s="11" t="str">
        <f aca="false">IF(G94="","",IF(G94&gt;=0.5,"Yes","No"))</f>
        <v>Yes</v>
      </c>
      <c r="I94" s="12" t="n">
        <f aca="false">IFERROR(AVERAGEIFS(History!$H$2:$H$401,History!$E$2:$E$401,E94,History!$F$2:$F$401,F94),"")</f>
        <v>0.833333333333333</v>
      </c>
      <c r="J94" s="11" t="str">
        <f aca="false">IF(I94="","",IF(I94&gt;=0.5,"Yes","No"))</f>
        <v>Yes</v>
      </c>
      <c r="K94" s="12" t="n">
        <f aca="false">IFERROR(AVERAGEIFS(History!$H$2:$H$401,History!$E$2:$E$401,E94),"")</f>
        <v>0.739583333333333</v>
      </c>
      <c r="L94" s="11" t="str">
        <f aca="false">IF(K94="","",IF(K94&gt;=0.5,"Yes","No"))</f>
        <v>Yes</v>
      </c>
    </row>
    <row r="95" customFormat="false" ht="15" hidden="false" customHeight="false" outlineLevel="0" collapsed="false">
      <c r="A95" s="10" t="n">
        <v>94</v>
      </c>
      <c r="B95" s="10" t="n">
        <v>65</v>
      </c>
      <c r="C95" s="10" t="s">
        <v>27</v>
      </c>
      <c r="D95" s="10" t="n">
        <v>46</v>
      </c>
      <c r="E95" s="11" t="str">
        <f aca="false">IF(B95&lt;50,"Low",IF(B95&lt;70,"Mid","High"))</f>
        <v>Mid</v>
      </c>
      <c r="F95" s="11" t="str">
        <f aca="false">IF(D95&lt;24,"Short","Long")</f>
        <v>Long</v>
      </c>
      <c r="G95" s="12" t="n">
        <f aca="false">IFERROR(AVERAGEIFS(History!$H$2:$H$401,History!$E$2:$E$401,E95,History!$C$2:$C$401,C95),"")</f>
        <v>0.0882352941176471</v>
      </c>
      <c r="H95" s="11" t="str">
        <f aca="false">IF(G95="","",IF(G95&gt;=0.5,"Yes","No"))</f>
        <v>No</v>
      </c>
      <c r="I95" s="12" t="n">
        <f aca="false">IFERROR(AVERAGEIFS(History!$H$2:$H$401,History!$E$2:$E$401,E95,History!$F$2:$F$401,F95),"")</f>
        <v>0.106382978723404</v>
      </c>
      <c r="J95" s="11" t="str">
        <f aca="false">IF(I95="","",IF(I95&gt;=0.5,"Yes","No"))</f>
        <v>No</v>
      </c>
      <c r="K95" s="12" t="n">
        <f aca="false">IFERROR(AVERAGEIFS(History!$H$2:$H$401,History!$E$2:$E$401,E95),"")</f>
        <v>0.34070796460177</v>
      </c>
      <c r="L95" s="11" t="str">
        <f aca="false">IF(K95="","",IF(K95&gt;=0.5,"Yes","No"))</f>
        <v>No</v>
      </c>
    </row>
    <row r="96" customFormat="false" ht="15" hidden="false" customHeight="false" outlineLevel="0" collapsed="false">
      <c r="A96" s="10" t="n">
        <v>95</v>
      </c>
      <c r="B96" s="10" t="n">
        <v>43</v>
      </c>
      <c r="C96" s="10" t="s">
        <v>29</v>
      </c>
      <c r="D96" s="10" t="n">
        <v>12</v>
      </c>
      <c r="E96" s="11" t="str">
        <f aca="false">IF(B96&lt;50,"Low",IF(B96&lt;70,"Mid","High"))</f>
        <v>Low</v>
      </c>
      <c r="F96" s="11" t="str">
        <f aca="false">IF(D96&lt;24,"Short","Long")</f>
        <v>Short</v>
      </c>
      <c r="G96" s="12" t="n">
        <f aca="false">IFERROR(AVERAGEIFS(History!$H$2:$H$401,History!$E$2:$E$401,E96,History!$C$2:$C$401,C96),"")</f>
        <v>0.0789473684210526</v>
      </c>
      <c r="H96" s="11" t="str">
        <f aca="false">IF(G96="","",IF(G96&gt;=0.5,"Yes","No"))</f>
        <v>No</v>
      </c>
      <c r="I96" s="12" t="n">
        <f aca="false">IFERROR(AVERAGEIFS(History!$H$2:$H$401,History!$E$2:$E$401,E96,History!$F$2:$F$401,F96),"")</f>
        <v>0.0909090909090909</v>
      </c>
      <c r="J96" s="11" t="str">
        <f aca="false">IF(I96="","",IF(I96&gt;=0.5,"Yes","No"))</f>
        <v>No</v>
      </c>
      <c r="K96" s="12" t="n">
        <f aca="false">IFERROR(AVERAGEIFS(History!$H$2:$H$401,History!$E$2:$E$401,E96),"")</f>
        <v>0.0769230769230769</v>
      </c>
      <c r="L96" s="11" t="str">
        <f aca="false">IF(K96="","",IF(K96&gt;=0.5,"Yes","No"))</f>
        <v>No</v>
      </c>
    </row>
    <row r="97" customFormat="false" ht="15" hidden="false" customHeight="false" outlineLevel="0" collapsed="false">
      <c r="A97" s="10" t="n">
        <v>96</v>
      </c>
      <c r="B97" s="10" t="n">
        <v>66</v>
      </c>
      <c r="C97" s="10" t="s">
        <v>29</v>
      </c>
      <c r="D97" s="10" t="n">
        <v>17</v>
      </c>
      <c r="E97" s="11" t="str">
        <f aca="false">IF(B97&lt;50,"Low",IF(B97&lt;70,"Mid","High"))</f>
        <v>Mid</v>
      </c>
      <c r="F97" s="11" t="str">
        <f aca="false">IF(D97&lt;24,"Short","Long")</f>
        <v>Short</v>
      </c>
      <c r="G97" s="12" t="n">
        <f aca="false">IFERROR(AVERAGEIFS(History!$H$2:$H$401,History!$E$2:$E$401,E97,History!$C$2:$C$401,C97),"")</f>
        <v>0.548387096774194</v>
      </c>
      <c r="H97" s="11" t="str">
        <f aca="false">IF(G97="","",IF(G97&gt;=0.5,"Yes","No"))</f>
        <v>Yes</v>
      </c>
      <c r="I97" s="12" t="n">
        <f aca="false">IFERROR(AVERAGEIFS(History!$H$2:$H$401,History!$E$2:$E$401,E97,History!$F$2:$F$401,F97),"")</f>
        <v>0.507575757575758</v>
      </c>
      <c r="J97" s="11" t="str">
        <f aca="false">IF(I97="","",IF(I97&gt;=0.5,"Yes","No"))</f>
        <v>Yes</v>
      </c>
      <c r="K97" s="12" t="n">
        <f aca="false">IFERROR(AVERAGEIFS(History!$H$2:$H$401,History!$E$2:$E$401,E97),"")</f>
        <v>0.34070796460177</v>
      </c>
      <c r="L97" s="11" t="str">
        <f aca="false">IF(K97="","",IF(K97&gt;=0.5,"Yes","No"))</f>
        <v>No</v>
      </c>
    </row>
    <row r="98" customFormat="false" ht="15" hidden="false" customHeight="false" outlineLevel="0" collapsed="false">
      <c r="A98" s="10" t="n">
        <v>97</v>
      </c>
      <c r="B98" s="10" t="n">
        <v>72</v>
      </c>
      <c r="C98" s="10" t="s">
        <v>29</v>
      </c>
      <c r="D98" s="10" t="n">
        <v>14</v>
      </c>
      <c r="E98" s="11" t="str">
        <f aca="false">IF(B98&lt;50,"Low",IF(B98&lt;70,"Mid","High"))</f>
        <v>High</v>
      </c>
      <c r="F98" s="11" t="str">
        <f aca="false">IF(D98&lt;24,"Short","Long")</f>
        <v>Short</v>
      </c>
      <c r="G98" s="12" t="n">
        <f aca="false">IFERROR(AVERAGEIFS(History!$H$2:$H$401,History!$E$2:$E$401,E98,History!$C$2:$C$401,C98),"")</f>
        <v>0.836734693877551</v>
      </c>
      <c r="H98" s="11" t="str">
        <f aca="false">IF(G98="","",IF(G98&gt;=0.5,"Yes","No"))</f>
        <v>Yes</v>
      </c>
      <c r="I98" s="12" t="n">
        <f aca="false">IFERROR(AVERAGEIFS(History!$H$2:$H$401,History!$E$2:$E$401,E98,History!$F$2:$F$401,F98),"")</f>
        <v>0.833333333333333</v>
      </c>
      <c r="J98" s="11" t="str">
        <f aca="false">IF(I98="","",IF(I98&gt;=0.5,"Yes","No"))</f>
        <v>Yes</v>
      </c>
      <c r="K98" s="12" t="n">
        <f aca="false">IFERROR(AVERAGEIFS(History!$H$2:$H$401,History!$E$2:$E$401,E98),"")</f>
        <v>0.739583333333333</v>
      </c>
      <c r="L98" s="11" t="str">
        <f aca="false">IF(K98="","",IF(K98&gt;=0.5,"Yes","No"))</f>
        <v>Yes</v>
      </c>
    </row>
    <row r="99" customFormat="false" ht="15" hidden="false" customHeight="false" outlineLevel="0" collapsed="false">
      <c r="A99" s="10" t="n">
        <v>98</v>
      </c>
      <c r="B99" s="10" t="n">
        <v>58</v>
      </c>
      <c r="C99" s="10" t="s">
        <v>27</v>
      </c>
      <c r="D99" s="10" t="n">
        <v>42</v>
      </c>
      <c r="E99" s="11" t="str">
        <f aca="false">IF(B99&lt;50,"Low",IF(B99&lt;70,"Mid","High"))</f>
        <v>Mid</v>
      </c>
      <c r="F99" s="11" t="str">
        <f aca="false">IF(D99&lt;24,"Short","Long")</f>
        <v>Long</v>
      </c>
      <c r="G99" s="12" t="n">
        <f aca="false">IFERROR(AVERAGEIFS(History!$H$2:$H$401,History!$E$2:$E$401,E99,History!$C$2:$C$401,C99),"")</f>
        <v>0.0882352941176471</v>
      </c>
      <c r="H99" s="11" t="str">
        <f aca="false">IF(G99="","",IF(G99&gt;=0.5,"Yes","No"))</f>
        <v>No</v>
      </c>
      <c r="I99" s="12" t="n">
        <f aca="false">IFERROR(AVERAGEIFS(History!$H$2:$H$401,History!$E$2:$E$401,E99,History!$F$2:$F$401,F99),"")</f>
        <v>0.106382978723404</v>
      </c>
      <c r="J99" s="11" t="str">
        <f aca="false">IF(I99="","",IF(I99&gt;=0.5,"Yes","No"))</f>
        <v>No</v>
      </c>
      <c r="K99" s="12" t="n">
        <f aca="false">IFERROR(AVERAGEIFS(History!$H$2:$H$401,History!$E$2:$E$401,E99),"")</f>
        <v>0.34070796460177</v>
      </c>
      <c r="L99" s="11" t="str">
        <f aca="false">IF(K99="","",IF(K99&gt;=0.5,"Yes","No"))</f>
        <v>No</v>
      </c>
    </row>
    <row r="100" customFormat="false" ht="15" hidden="false" customHeight="false" outlineLevel="0" collapsed="false">
      <c r="A100" s="10" t="n">
        <v>99</v>
      </c>
      <c r="B100" s="10" t="n">
        <v>69</v>
      </c>
      <c r="C100" s="10" t="s">
        <v>29</v>
      </c>
      <c r="D100" s="10" t="n">
        <v>19</v>
      </c>
      <c r="E100" s="11" t="str">
        <f aca="false">IF(B100&lt;50,"Low",IF(B100&lt;70,"Mid","High"))</f>
        <v>Mid</v>
      </c>
      <c r="F100" s="11" t="str">
        <f aca="false">IF(D100&lt;24,"Short","Long")</f>
        <v>Short</v>
      </c>
      <c r="G100" s="12" t="n">
        <f aca="false">IFERROR(AVERAGEIFS(History!$H$2:$H$401,History!$E$2:$E$401,E100,History!$C$2:$C$401,C100),"")</f>
        <v>0.548387096774194</v>
      </c>
      <c r="H100" s="11" t="str">
        <f aca="false">IF(G100="","",IF(G100&gt;=0.5,"Yes","No"))</f>
        <v>Yes</v>
      </c>
      <c r="I100" s="12" t="n">
        <f aca="false">IFERROR(AVERAGEIFS(History!$H$2:$H$401,History!$E$2:$E$401,E100,History!$F$2:$F$401,F100),"")</f>
        <v>0.507575757575758</v>
      </c>
      <c r="J100" s="11" t="str">
        <f aca="false">IF(I100="","",IF(I100&gt;=0.5,"Yes","No"))</f>
        <v>Yes</v>
      </c>
      <c r="K100" s="12" t="n">
        <f aca="false">IFERROR(AVERAGEIFS(History!$H$2:$H$401,History!$E$2:$E$401,E100),"")</f>
        <v>0.34070796460177</v>
      </c>
      <c r="L100" s="11" t="str">
        <f aca="false">IF(K100="","",IF(K100&gt;=0.5,"Yes","No"))</f>
        <v>No</v>
      </c>
    </row>
    <row r="101" customFormat="false" ht="15" hidden="false" customHeight="false" outlineLevel="0" collapsed="false">
      <c r="A101" s="10" t="n">
        <v>100</v>
      </c>
      <c r="B101" s="10" t="n">
        <v>41</v>
      </c>
      <c r="C101" s="10" t="s">
        <v>27</v>
      </c>
      <c r="D101" s="10" t="n">
        <v>26</v>
      </c>
      <c r="E101" s="11" t="str">
        <f aca="false">IF(B101&lt;50,"Low",IF(B101&lt;70,"Mid","High"))</f>
        <v>Low</v>
      </c>
      <c r="F101" s="11" t="str">
        <f aca="false">IF(D101&lt;24,"Short","Long")</f>
        <v>Long</v>
      </c>
      <c r="G101" s="12" t="n">
        <f aca="false">IFERROR(AVERAGEIFS(History!$H$2:$H$401,History!$E$2:$E$401,E101,History!$C$2:$C$401,C101),"")</f>
        <v>0.075</v>
      </c>
      <c r="H101" s="11" t="str">
        <f aca="false">IF(G101="","",IF(G101&gt;=0.5,"Yes","No"))</f>
        <v>No</v>
      </c>
      <c r="I101" s="12" t="n">
        <f aca="false">IFERROR(AVERAGEIFS(History!$H$2:$H$401,History!$E$2:$E$401,E101,History!$F$2:$F$401,F101),"")</f>
        <v>0.0588235294117647</v>
      </c>
      <c r="J101" s="11" t="str">
        <f aca="false">IF(I101="","",IF(I101&gt;=0.5,"Yes","No"))</f>
        <v>No</v>
      </c>
      <c r="K101" s="12" t="n">
        <f aca="false">IFERROR(AVERAGEIFS(History!$H$2:$H$401,History!$E$2:$E$401,E101),"")</f>
        <v>0.0769230769230769</v>
      </c>
      <c r="L101" s="11" t="str">
        <f aca="false">IF(K101="","",IF(K101&gt;=0.5,"Yes","No"))</f>
        <v>No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4"/>
  </cols>
  <sheetData>
    <row r="1" customFormat="false" ht="15" hidden="false" customHeight="false" outlineLevel="0" collapsed="false">
      <c r="A1" s="13" t="s">
        <v>38</v>
      </c>
    </row>
    <row r="3" customFormat="false" ht="36" hidden="false" customHeight="true" outlineLevel="0" collapsed="false">
      <c r="A3" s="8" t="s">
        <v>39</v>
      </c>
      <c r="B3" s="8" t="s">
        <v>40</v>
      </c>
      <c r="C3" s="8" t="s">
        <v>41</v>
      </c>
      <c r="D3" s="8" t="s">
        <v>42</v>
      </c>
    </row>
    <row r="4" customFormat="false" ht="15" hidden="false" customHeight="false" outlineLevel="0" collapsed="false">
      <c r="A4" s="14" t="s">
        <v>43</v>
      </c>
      <c r="B4" s="15" t="n">
        <f aca="false">AVERAGEIFS(History!$H$2:$H$401,History!$C$2:$C$401,"A")</f>
        <v>0.530805687203792</v>
      </c>
      <c r="C4" s="15" t="n">
        <f aca="false">AVERAGEIFS(History!$H$2:$H$401,History!$C$2:$C$401,"B")</f>
        <v>0.222222222222222</v>
      </c>
      <c r="D4" s="16" t="n">
        <f aca="false">B4-C4</f>
        <v>0.308583464981569</v>
      </c>
    </row>
    <row r="5" customFormat="false" ht="15" hidden="false" customHeight="false" outlineLevel="0" collapsed="false">
      <c r="A5" s="14" t="s">
        <v>44</v>
      </c>
      <c r="B5" s="15" t="n">
        <f aca="false">COUNTIFS(Applicants!$C$2:$C$101,"A",Applicants!$H$2:$H$101,"Yes")/COUNTIF(Applicants!$C$2:$C$101,"A")</f>
        <v>0.830188679245283</v>
      </c>
      <c r="C5" s="15" t="n">
        <f aca="false">COUNTIFS(Applicants!$C$2:$C$101,"B",Applicants!$H$2:$H$101,"Yes")/COUNTIF(Applicants!$C$2:$C$101,"B")</f>
        <v>0.319148936170213</v>
      </c>
      <c r="D5" s="16" t="n">
        <f aca="false">B5-C5</f>
        <v>0.51103974307507</v>
      </c>
    </row>
    <row r="6" customFormat="false" ht="15" hidden="false" customHeight="false" outlineLevel="0" collapsed="false">
      <c r="A6" s="14" t="s">
        <v>45</v>
      </c>
      <c r="B6" s="15" t="n">
        <f aca="false">COUNTIFS(Applicants!$C$2:$C$101,"A",Applicants!$J$2:$J$101,"Yes")/COUNTIF(Applicants!$C$2:$C$101,"A")</f>
        <v>0.830188679245283</v>
      </c>
      <c r="C6" s="15" t="n">
        <f aca="false">COUNTIFS(Applicants!$C$2:$C$101,"B",Applicants!$J$2:$J$101,"Yes")/COUNTIF(Applicants!$C$2:$C$101,"B")</f>
        <v>0.425531914893617</v>
      </c>
      <c r="D6" s="16" t="n">
        <f aca="false">B6-C6</f>
        <v>0.404656764351666</v>
      </c>
    </row>
    <row r="7" customFormat="false" ht="15" hidden="false" customHeight="false" outlineLevel="0" collapsed="false">
      <c r="A7" s="14" t="s">
        <v>46</v>
      </c>
      <c r="B7" s="15" t="n">
        <f aca="false">COUNTIFS(Applicants!$C$2:$C$101,"A",Applicants!$L$2:$L$101,"Yes")/COUNTIF(Applicants!$C$2:$C$101,"A")</f>
        <v>0.30188679245283</v>
      </c>
      <c r="C7" s="15" t="n">
        <f aca="false">COUNTIFS(Applicants!$C$2:$C$101,"B",Applicants!$L$2:$L$101,"Yes")/COUNTIF(Applicants!$C$2:$C$101,"B")</f>
        <v>0.319148936170213</v>
      </c>
      <c r="D7" s="16" t="n">
        <f aca="false">B7-C7</f>
        <v>-0.0172621437173826</v>
      </c>
    </row>
    <row r="10" customFormat="false" ht="15" hidden="false" customHeight="false" outlineLevel="0" collapsed="false">
      <c r="A10" s="13" t="s">
        <v>47</v>
      </c>
    </row>
    <row r="11" customFormat="false" ht="30" hidden="false" customHeight="true" outlineLevel="0" collapsed="false">
      <c r="A11" s="8" t="s">
        <v>48</v>
      </c>
      <c r="B11" s="8" t="s">
        <v>40</v>
      </c>
      <c r="C11" s="8" t="s">
        <v>41</v>
      </c>
    </row>
    <row r="12" customFormat="false" ht="15" hidden="false" customHeight="false" outlineLevel="0" collapsed="false">
      <c r="A12" s="14" t="s">
        <v>49</v>
      </c>
      <c r="B12" s="17" t="n">
        <f aca="false">AVERAGEIFS(History!$B$2:$B$401,History!$C$2:$C$401,"A")</f>
        <v>60.3222748815166</v>
      </c>
      <c r="C12" s="17" t="n">
        <f aca="false">AVERAGEIFS(History!$B$2:$B$401,History!$C$2:$C$401,"B")</f>
        <v>59.6613756613757</v>
      </c>
    </row>
    <row r="13" customFormat="false" ht="15" hidden="false" customHeight="false" outlineLevel="0" collapsed="false">
      <c r="A13" s="14" t="s">
        <v>50</v>
      </c>
      <c r="B13" s="17" t="n">
        <f aca="false">AVERAGEIFS(Applicants!$B$2:$B$101,Applicants!$C$2:$C$101,"A")</f>
        <v>62.2264150943396</v>
      </c>
      <c r="C13" s="17" t="n">
        <f aca="false">AVERAGEIFS(Applicants!$B$2:$B$101,Applicants!$C$2:$C$101,"B")</f>
        <v>64.2553191489362</v>
      </c>
    </row>
    <row r="14" customFormat="false" ht="15" hidden="false" customHeight="false" outlineLevel="0" collapsed="false">
      <c r="A14" s="14" t="s">
        <v>51</v>
      </c>
      <c r="B14" s="17" t="n">
        <f aca="false">AVERAGEIFS(History!$D$2:$D$401,History!$C$2:$C$401,"A")</f>
        <v>14.8436018957346</v>
      </c>
      <c r="C14" s="17" t="n">
        <f aca="false">AVERAGEIFS(History!$D$2:$D$401,History!$C$2:$C$401,"B")</f>
        <v>31.6243386243386</v>
      </c>
    </row>
    <row r="17" customFormat="false" ht="15" hidden="false" customHeight="false" outlineLevel="0" collapsed="false">
      <c r="A17" s="13" t="s">
        <v>52</v>
      </c>
    </row>
    <row r="18" customFormat="false" ht="30" hidden="false" customHeight="true" outlineLevel="0" collapsed="false">
      <c r="A18" s="8" t="s">
        <v>22</v>
      </c>
      <c r="B18" s="8" t="s">
        <v>40</v>
      </c>
      <c r="C18" s="8" t="s">
        <v>41</v>
      </c>
      <c r="D18" s="8" t="s">
        <v>42</v>
      </c>
    </row>
    <row r="19" customFormat="false" ht="15" hidden="false" customHeight="false" outlineLevel="0" collapsed="false">
      <c r="A19" s="18" t="s">
        <v>53</v>
      </c>
      <c r="B19" s="15" t="n">
        <f aca="false">AVERAGEIFS(History!$H$2:$H$401,History!$E$2:$E$401,A19,History!$C$2:$C$401,"A")</f>
        <v>0.0789473684210526</v>
      </c>
      <c r="C19" s="15" t="n">
        <f aca="false">AVERAGEIFS(History!$H$2:$H$401,History!$E$2:$E$401,A19,History!$C$2:$C$401,"B")</f>
        <v>0.075</v>
      </c>
      <c r="D19" s="16" t="n">
        <f aca="false">B19-C19</f>
        <v>0.00394736842105263</v>
      </c>
    </row>
    <row r="20" customFormat="false" ht="15" hidden="false" customHeight="false" outlineLevel="0" collapsed="false">
      <c r="A20" s="18" t="s">
        <v>54</v>
      </c>
      <c r="B20" s="15" t="n">
        <f aca="false">AVERAGEIFS(History!$H$2:$H$401,History!$E$2:$E$401,A20,History!$C$2:$C$401,"A")</f>
        <v>0.548387096774194</v>
      </c>
      <c r="C20" s="15" t="n">
        <f aca="false">AVERAGEIFS(History!$H$2:$H$401,History!$E$2:$E$401,A20,History!$C$2:$C$401,"B")</f>
        <v>0.0882352941176471</v>
      </c>
      <c r="D20" s="16" t="n">
        <f aca="false">B20-C20</f>
        <v>0.460151802656546</v>
      </c>
    </row>
    <row r="21" customFormat="false" ht="15" hidden="false" customHeight="false" outlineLevel="0" collapsed="false">
      <c r="A21" s="18" t="s">
        <v>55</v>
      </c>
      <c r="B21" s="15" t="n">
        <f aca="false">AVERAGEIFS(History!$H$2:$H$401,History!$E$2:$E$401,A21,History!$C$2:$C$401,"A")</f>
        <v>0.836734693877551</v>
      </c>
      <c r="C21" s="15" t="n">
        <f aca="false">AVERAGEIFS(History!$H$2:$H$401,History!$E$2:$E$401,A21,History!$C$2:$C$401,"B")</f>
        <v>0.638297872340426</v>
      </c>
      <c r="D21" s="16" t="n">
        <f aca="false">B21-C21</f>
        <v>0.198436821537126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80"/>
  </cols>
  <sheetData>
    <row r="1" customFormat="false" ht="30" hidden="false" customHeight="true" outlineLevel="0" collapsed="false">
      <c r="A1" s="8" t="s">
        <v>56</v>
      </c>
      <c r="B1" s="8" t="s">
        <v>57</v>
      </c>
    </row>
    <row r="2" customFormat="false" ht="39.75" hidden="false" customHeight="true" outlineLevel="0" collapsed="false">
      <c r="A2" s="19" t="s">
        <v>58</v>
      </c>
      <c r="B2" s="20"/>
    </row>
    <row r="3" customFormat="false" ht="39.75" hidden="false" customHeight="true" outlineLevel="0" collapsed="false">
      <c r="A3" s="19" t="s">
        <v>59</v>
      </c>
      <c r="B3" s="20"/>
    </row>
    <row r="4" customFormat="false" ht="39.75" hidden="false" customHeight="true" outlineLevel="0" collapsed="false">
      <c r="A4" s="19" t="s">
        <v>60</v>
      </c>
      <c r="B4" s="20"/>
    </row>
    <row r="5" customFormat="false" ht="39.75" hidden="false" customHeight="true" outlineLevel="0" collapsed="false">
      <c r="A5" s="19" t="s">
        <v>61</v>
      </c>
      <c r="B5" s="20"/>
    </row>
    <row r="6" customFormat="false" ht="39.75" hidden="false" customHeight="true" outlineLevel="0" collapsed="false">
      <c r="A6" s="19" t="s">
        <v>62</v>
      </c>
      <c r="B6" s="20"/>
    </row>
    <row r="7" customFormat="false" ht="39.75" hidden="false" customHeight="true" outlineLevel="0" collapsed="false">
      <c r="A7" s="19" t="s">
        <v>63</v>
      </c>
      <c r="B7" s="20"/>
    </row>
    <row r="8" customFormat="false" ht="39.75" hidden="false" customHeight="true" outlineLevel="0" collapsed="false">
      <c r="A8" s="19" t="s">
        <v>64</v>
      </c>
      <c r="B8" s="20"/>
    </row>
    <row r="9" customFormat="false" ht="39.75" hidden="false" customHeight="true" outlineLevel="0" collapsed="false">
      <c r="A9" s="19" t="s">
        <v>65</v>
      </c>
      <c r="B9" s="20"/>
    </row>
    <row r="10" customFormat="false" ht="39.75" hidden="false" customHeight="true" outlineLevel="0" collapsed="false">
      <c r="A10" s="19" t="s">
        <v>66</v>
      </c>
      <c r="B10" s="20"/>
    </row>
    <row r="12" customFormat="false" ht="15" hidden="false" customHeight="false" outlineLevel="0" collapsed="false">
      <c r="A12" s="9" t="s">
        <v>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4"/>
    <col collapsed="false" customWidth="true" hidden="false" outlineLevel="0" max="3" min="3" style="0" width="72"/>
  </cols>
  <sheetData>
    <row r="1" customFormat="false" ht="16.15" hidden="false" customHeight="false" outlineLevel="0" collapsed="false">
      <c r="A1" s="21" t="s">
        <v>68</v>
      </c>
    </row>
    <row r="3" customFormat="false" ht="15" hidden="false" customHeight="false" outlineLevel="0" collapsed="false">
      <c r="A3" s="8" t="s">
        <v>69</v>
      </c>
      <c r="B3" s="8" t="s">
        <v>70</v>
      </c>
      <c r="C3" s="8" t="s">
        <v>71</v>
      </c>
    </row>
    <row r="4" customFormat="false" ht="15" hidden="false" customHeight="false" outlineLevel="0" collapsed="false">
      <c r="A4" s="14" t="s">
        <v>72</v>
      </c>
      <c r="B4" s="16" t="n">
        <f aca="false">Results!B4</f>
        <v>0.530805687203792</v>
      </c>
      <c r="C4" s="22" t="s">
        <v>73</v>
      </c>
    </row>
    <row r="5" customFormat="false" ht="15" hidden="false" customHeight="false" outlineLevel="0" collapsed="false">
      <c r="A5" s="14" t="s">
        <v>74</v>
      </c>
      <c r="B5" s="16" t="n">
        <f aca="false">Results!C4</f>
        <v>0.222222222222222</v>
      </c>
      <c r="C5" s="22"/>
    </row>
    <row r="6" customFormat="false" ht="15" hidden="false" customHeight="false" outlineLevel="0" collapsed="false">
      <c r="A6" s="14" t="s">
        <v>75</v>
      </c>
      <c r="B6" s="17" t="n">
        <f aca="false">Results!B12</f>
        <v>60.3222748815166</v>
      </c>
      <c r="C6" s="22" t="s">
        <v>76</v>
      </c>
    </row>
    <row r="7" customFormat="false" ht="15" hidden="false" customHeight="false" outlineLevel="0" collapsed="false">
      <c r="A7" s="14" t="s">
        <v>77</v>
      </c>
      <c r="B7" s="17" t="n">
        <f aca="false">Results!C12</f>
        <v>59.6613756613757</v>
      </c>
      <c r="C7" s="22" t="s">
        <v>78</v>
      </c>
    </row>
    <row r="8" customFormat="false" ht="15" hidden="false" customHeight="false" outlineLevel="0" collapsed="false">
      <c r="A8" s="14" t="s">
        <v>79</v>
      </c>
      <c r="B8" s="16" t="n">
        <f aca="false">Results!B5</f>
        <v>0.830188679245283</v>
      </c>
      <c r="C8" s="22" t="s">
        <v>80</v>
      </c>
    </row>
    <row r="9" customFormat="false" ht="15" hidden="false" customHeight="false" outlineLevel="0" collapsed="false">
      <c r="A9" s="14" t="s">
        <v>81</v>
      </c>
      <c r="B9" s="16" t="n">
        <f aca="false">Results!C5</f>
        <v>0.319148936170213</v>
      </c>
      <c r="C9" s="22"/>
    </row>
    <row r="10" customFormat="false" ht="15" hidden="false" customHeight="false" outlineLevel="0" collapsed="false">
      <c r="A10" s="14" t="s">
        <v>82</v>
      </c>
      <c r="B10" s="16" t="n">
        <f aca="false">Results!B6</f>
        <v>0.830188679245283</v>
      </c>
      <c r="C10" s="22" t="s">
        <v>83</v>
      </c>
    </row>
    <row r="11" customFormat="false" ht="15" hidden="false" customHeight="false" outlineLevel="0" collapsed="false">
      <c r="A11" s="14" t="s">
        <v>84</v>
      </c>
      <c r="B11" s="16" t="n">
        <f aca="false">Results!C6</f>
        <v>0.425531914893617</v>
      </c>
      <c r="C11" s="22" t="s">
        <v>85</v>
      </c>
    </row>
    <row r="12" customFormat="false" ht="15" hidden="false" customHeight="false" outlineLevel="0" collapsed="false">
      <c r="A12" s="14" t="s">
        <v>86</v>
      </c>
      <c r="B12" s="16" t="n">
        <f aca="false">Results!B7</f>
        <v>0.30188679245283</v>
      </c>
      <c r="C12" s="22" t="s">
        <v>87</v>
      </c>
    </row>
    <row r="13" customFormat="false" ht="15" hidden="false" customHeight="false" outlineLevel="0" collapsed="false">
      <c r="A13" s="14" t="s">
        <v>88</v>
      </c>
      <c r="B13" s="16" t="n">
        <f aca="false">Results!C7</f>
        <v>0.319148936170213</v>
      </c>
      <c r="C13" s="22" t="s">
        <v>89</v>
      </c>
    </row>
    <row r="15" customFormat="false" ht="15" hidden="false" customHeight="false" outlineLevel="0" collapsed="false">
      <c r="A15" s="23" t="s">
        <v>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2026-10-10T05:22:36Z</dcterms:created>
  <dc:creator>openpyxl</dc:creator>
  <dc:description/>
  <dc:language>en-US</dc:language>
  <cp:lastModifiedBy/>
  <dcterms:modified xsi:type="dcterms:W3CDTF">2026-10-10T05:22:39Z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