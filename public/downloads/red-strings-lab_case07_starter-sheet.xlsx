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essy" sheetId="2" state="visible" r:id="rId4"/>
    <sheet name="Clean" sheetId="3" state="visible" r:id="rId5"/>
    <sheet name="Cleaning Log" sheetId="4" state="visible" r:id="rId6"/>
    <sheet name="Compare" sheetId="5" state="visible" r:id="rId7"/>
    <sheet name="Your Turn" sheetId="6" state="visible" r:id="rId8"/>
    <sheet name="Answer Ke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<sst xmlns="http://schemas.openxmlformats.org/spreadsheetml/2006/main" count="681" uniqueCount="155">
  <si>
    <t xml:space="preserve">RED STRINGS LAB · CASE 07 · Fix the Messy Dataset — Starter Sheet</t>
  </si>
  <si>
    <t xml:space="preserve">Every dataset is hiding something.</t>
  </si>
  <si>
    <t xml:space="preserve">⚠ ALL data here is MADE UP, and deliberately messy. 'Town High' is imaginary.</t>
  </si>
  <si>
    <t xml:space="preserve">This is a morning-routine survey. Real survey exports look like this: typos, doubles, mixed units.</t>
  </si>
  <si>
    <t xml:space="preserve">THE QUESTION: Before analysing anything, can we trust this file?</t>
  </si>
  <si>
    <t xml:space="preserve">TABS</t>
  </si>
  <si>
    <t xml:space="preserve">• Messy — the raw file (108 rows). This is what you clean.</t>
  </si>
  <si>
    <t xml:space="preserve">• Clean — the same survey after cleaning with the rules in the Cleaning Log (100 students). Check your work against it.</t>
  </si>
  <si>
    <t xml:space="preserve">• Cleaning Log — every kind of problem found, how many, what was done, and why.</t>
  </si>
  <si>
    <t xml:space="preserve">• Compare — messy vs clean labels, charts, and what the same formulas say on each.</t>
  </si>
  <si>
    <t xml:space="preserve">• Your Turn — your own cleaning log.  • Answer Key — the numbers behind the video.</t>
  </si>
  <si>
    <t xml:space="preserve">MISSION</t>
  </si>
  <si>
    <t xml:space="preserve">1. Clean the Messy tab into your own sheet, WITHOUT looking at the Clean tab. Keep the original untouched.</t>
  </si>
  <si>
    <t xml:space="preserve">2. Log every change: what was wrong, how many, what you did, and why.</t>
  </si>
  <si>
    <t xml:space="preserve">3. When you can't tell what a value should be, leave it blank and note it. Don't guess silently.</t>
  </si>
  <si>
    <t xml:space="preserve">4. Compare with the Clean tab. Where do you differ, and who is right?</t>
  </si>
  <si>
    <t xml:space="preserve">Not affiliated with Google or any tool shown. Free to use for learning. Terms checked: [add date].</t>
  </si>
  <si>
    <t xml:space="preserve">Response ID</t>
  </si>
  <si>
    <t xml:space="preserve">Year group</t>
  </si>
  <si>
    <t xml:space="preserve">Height</t>
  </si>
  <si>
    <t xml:space="preserve">Sleep (hours)</t>
  </si>
  <si>
    <t xml:space="preserve">Breakfast?</t>
  </si>
  <si>
    <t xml:space="preserve">Travel to school</t>
  </si>
  <si>
    <t xml:space="preserve">Made-up, deliberately messy data. Blue = typed-in inputs.</t>
  </si>
  <si>
    <t xml:space="preserve">Year 12</t>
  </si>
  <si>
    <t xml:space="preserve">Yes</t>
  </si>
  <si>
    <t xml:space="preserve">Walking</t>
  </si>
  <si>
    <t xml:space="preserve">Yr 12</t>
  </si>
  <si>
    <t xml:space="preserve">No</t>
  </si>
  <si>
    <t xml:space="preserve">Walk</t>
  </si>
  <si>
    <t xml:space="preserve">10</t>
  </si>
  <si>
    <t xml:space="preserve">166 cm</t>
  </si>
  <si>
    <t xml:space="preserve">Buss</t>
  </si>
  <si>
    <t xml:space="preserve">No </t>
  </si>
  <si>
    <t xml:space="preserve">Bus</t>
  </si>
  <si>
    <t xml:space="preserve">Year 10</t>
  </si>
  <si>
    <t xml:space="preserve">Car</t>
  </si>
  <si>
    <t xml:space="preserve">Year 12 </t>
  </si>
  <si>
    <t xml:space="preserve">Year 9</t>
  </si>
  <si>
    <t xml:space="preserve">Bike</t>
  </si>
  <si>
    <t xml:space="preserve">Yr 9</t>
  </si>
  <si>
    <t xml:space="preserve">8h</t>
  </si>
  <si>
    <t xml:space="preserve">Y</t>
  </si>
  <si>
    <t xml:space="preserve">12</t>
  </si>
  <si>
    <t xml:space="preserve">Yr 10</t>
  </si>
  <si>
    <t xml:space="preserve">Car </t>
  </si>
  <si>
    <t xml:space="preserve">11</t>
  </si>
  <si>
    <t xml:space="preserve">7 hours</t>
  </si>
  <si>
    <t xml:space="preserve">Year 10 </t>
  </si>
  <si>
    <t xml:space="preserve">Yess</t>
  </si>
  <si>
    <t xml:space="preserve">N</t>
  </si>
  <si>
    <t xml:space="preserve">Walk </t>
  </si>
  <si>
    <t xml:space="preserve">9</t>
  </si>
  <si>
    <t xml:space="preserve">Yes </t>
  </si>
  <si>
    <t xml:space="preserve">Year 11</t>
  </si>
  <si>
    <t xml:space="preserve">School bus</t>
  </si>
  <si>
    <t xml:space="preserve">Year 9 </t>
  </si>
  <si>
    <t xml:space="preserve">Bus </t>
  </si>
  <si>
    <t xml:space="preserve">Yr 11</t>
  </si>
  <si>
    <t xml:space="preserve">Cycle</t>
  </si>
  <si>
    <t xml:space="preserve">168 cm</t>
  </si>
  <si>
    <t xml:space="preserve">1.63 m</t>
  </si>
  <si>
    <t xml:space="preserve">150 cm</t>
  </si>
  <si>
    <t xml:space="preserve">Year 11 </t>
  </si>
  <si>
    <t xml:space="preserve">158 cm</t>
  </si>
  <si>
    <t xml:space="preserve">1.61 m</t>
  </si>
  <si>
    <t xml:space="preserve">n/a</t>
  </si>
  <si>
    <t xml:space="preserve">1.71 m</t>
  </si>
  <si>
    <t xml:space="preserve">Height (cm)</t>
  </si>
  <si>
    <t xml:space="preserve">Cleaned by the Cleaning Log rules. Blank = could not be recovered safely.</t>
  </si>
  <si>
    <t xml:space="preserve">Problem</t>
  </si>
  <si>
    <t xml:space="preserve">Example</t>
  </si>
  <si>
    <t xml:space="preserve">Rows affected</t>
  </si>
  <si>
    <t xml:space="preserve">What I did</t>
  </si>
  <si>
    <t xml:space="preserve">Why</t>
  </si>
  <si>
    <t xml:space="preserve">Duplicate submissions</t>
  </si>
  <si>
    <t xml:space="preserve">Same Response ID twice</t>
  </si>
  <si>
    <t xml:space="preserve">Kept one copy of each</t>
  </si>
  <si>
    <t xml:space="preserve">Counting a student twice distorts every average and percentage</t>
  </si>
  <si>
    <t xml:space="preserve">Height in metres</t>
  </si>
  <si>
    <t xml:space="preserve">1.65</t>
  </si>
  <si>
    <t xml:space="preserve">14</t>
  </si>
  <si>
    <t xml:space="preserve">Multiplied by 100 to get cm</t>
  </si>
  <si>
    <t xml:space="preserve">Mixed units make an average meaningless</t>
  </si>
  <si>
    <t xml:space="preserve">Height as text with units</t>
  </si>
  <si>
    <t xml:space="preserve">165 cm</t>
  </si>
  <si>
    <t xml:space="preserve">4</t>
  </si>
  <si>
    <t xml:space="preserve">Removed ' cm', stored as a number</t>
  </si>
  <si>
    <t xml:space="preserve">AVERAGE ignores text silently</t>
  </si>
  <si>
    <t xml:space="preserve">Height as text in metres</t>
  </si>
  <si>
    <t xml:space="preserve">1.65 m</t>
  </si>
  <si>
    <t xml:space="preserve">3</t>
  </si>
  <si>
    <t xml:space="preserve">Converted to cm</t>
  </si>
  <si>
    <t xml:space="preserve">Same reason</t>
  </si>
  <si>
    <t xml:space="preserve">Impossible height (typo)</t>
  </si>
  <si>
    <t xml:space="preserve">1650</t>
  </si>
  <si>
    <t xml:space="preserve">2</t>
  </si>
  <si>
    <t xml:space="preserve">Left BLANK and logged</t>
  </si>
  <si>
    <t xml:space="preserve">Could be 165 or 1.65 or something else. Guessing would be invention</t>
  </si>
  <si>
    <t xml:space="preserve">Height not given</t>
  </si>
  <si>
    <t xml:space="preserve">1</t>
  </si>
  <si>
    <t xml:space="preserve">Left BLANK</t>
  </si>
  <si>
    <t xml:space="preserve">Missing is honest</t>
  </si>
  <si>
    <t xml:space="preserve">Sleep as text</t>
  </si>
  <si>
    <t xml:space="preserve">7 hours / 8h</t>
  </si>
  <si>
    <t xml:space="preserve">Kept the number</t>
  </si>
  <si>
    <t xml:space="preserve">Text is skipped by AVERAGE</t>
  </si>
  <si>
    <t xml:space="preserve">Impossible sleep</t>
  </si>
  <si>
    <t xml:space="preserve">25</t>
  </si>
  <si>
    <t xml:space="preserve">More than a day. Can't know the real value</t>
  </si>
  <si>
    <t xml:space="preserve">Year group written many ways</t>
  </si>
  <si>
    <t xml:space="preserve">Yr 9 / 9 / Year 9 (trailing space)</t>
  </si>
  <si>
    <t xml:space="preserve">all rows</t>
  </si>
  <si>
    <t xml:space="preserve">Made it the number 9, 10, 11 or 12</t>
  </si>
  <si>
    <t xml:space="preserve">One label per group</t>
  </si>
  <si>
    <t xml:space="preserve">Breakfast written many ways</t>
  </si>
  <si>
    <t xml:space="preserve">Y / Yes (space) / Yess / N</t>
  </si>
  <si>
    <t xml:space="preserve">Made it Yes or No</t>
  </si>
  <si>
    <t xml:space="preserve">COUNTIF('Yes') misses the variants</t>
  </si>
  <si>
    <t xml:space="preserve">Travel written many ways</t>
  </si>
  <si>
    <t xml:space="preserve">Buss / Walking / School bus / Cycle</t>
  </si>
  <si>
    <t xml:space="preserve">Made it Bus, Walk, Car or Bike</t>
  </si>
  <si>
    <t xml:space="preserve">11 labels for 4 ideas</t>
  </si>
  <si>
    <t xml:space="preserve">TRAVEL TO SCHOOL: messy labels vs clean labels</t>
  </si>
  <si>
    <t xml:space="preserve">Messy label</t>
  </si>
  <si>
    <t xml:space="preserve">Count</t>
  </si>
  <si>
    <t xml:space="preserve">Clean label</t>
  </si>
  <si>
    <t xml:space="preserve">Total rows counted</t>
  </si>
  <si>
    <t xml:space="preserve">Total students</t>
  </si>
  <si>
    <t xml:space="preserve">What was wrong</t>
  </si>
  <si>
    <t xml:space="preserve">How many rows</t>
  </si>
  <si>
    <t xml:space="preserve">Why I did it that way (or why I left it blank)</t>
  </si>
  <si>
    <t xml:space="preserve">EXAMPLE: height in metres</t>
  </si>
  <si>
    <t xml:space="preserve">Multiplied by 100</t>
  </si>
  <si>
    <t xml:space="preserve">So every height is in cm</t>
  </si>
  <si>
    <t xml:space="preserve">Yellow = yours to fill. Delete the grey example row. Keep the original data untouched.</t>
  </si>
  <si>
    <t xml:space="preserve">ANSWER KEY (made-up data) — try it yourself first</t>
  </si>
  <si>
    <t xml:space="preserve">Same question, same formula</t>
  </si>
  <si>
    <t xml:space="preserve">On MESSY</t>
  </si>
  <si>
    <t xml:space="preserve">On CLEAN</t>
  </si>
  <si>
    <t xml:space="preserve">What it tells you</t>
  </si>
  <si>
    <t xml:space="preserve">Rows / students counted</t>
  </si>
  <si>
    <t xml:space="preserve">8 students were counted twice</t>
  </si>
  <si>
    <t xml:space="preserve">Heights stored as text (invisible to AVERAGE)</t>
  </si>
  <si>
    <t xml:space="preserve">AVERAGE skips text without warning</t>
  </si>
  <si>
    <t xml:space="preserve">Average height (cm)</t>
  </si>
  <si>
    <t xml:space="preserve">Metres and typos wreck the messy average</t>
  </si>
  <si>
    <t xml:space="preserve">Average sleep (hours)</t>
  </si>
  <si>
    <t xml:space="preserve">Text and one impossible 25 skew it</t>
  </si>
  <si>
    <t xml:space="preserve">Count of exactly 'Yes' for breakfast</t>
  </si>
  <si>
    <t xml:space="preserve">Misses Y, 'Yes ' and Yess</t>
  </si>
  <si>
    <t xml:space="preserve">Share eating breakfast</t>
  </si>
  <si>
    <t xml:space="preserve">Undercounted and double-counted at once</t>
  </si>
  <si>
    <t xml:space="preserve">Different labels for travel to school</t>
  </si>
  <si>
    <t xml:space="preserve">Reminder: if you can't tell what a value should be, leave it blank and say so. Never guess silently.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</si>
</sst>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General"/>
    <numFmt numFmtId="167" formatCode="0"/>
    <numFmt numFmtId="168" formatCode="0.00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4213D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1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Messy: 11 labels for 4 ideas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Compare!B2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Compare!$A$3:$A$13</c:f>
              <c:strCache>
                <c:ptCount val="11"/>
                <c:pt idx="0">
                  <c:v>Bus</c:v>
                </c:pt>
                <c:pt idx="1">
                  <c:v>Buss</c:v>
                </c:pt>
                <c:pt idx="2">
                  <c:v>Bus </c:v>
                </c:pt>
                <c:pt idx="3">
                  <c:v>School bus</c:v>
                </c:pt>
                <c:pt idx="4">
                  <c:v>Walk</c:v>
                </c:pt>
                <c:pt idx="5">
                  <c:v>Walking</c:v>
                </c:pt>
                <c:pt idx="6">
                  <c:v>Walk </c:v>
                </c:pt>
                <c:pt idx="7">
                  <c:v>Car</c:v>
                </c:pt>
                <c:pt idx="8">
                  <c:v>Car </c:v>
                </c:pt>
                <c:pt idx="9">
                  <c:v>Bike</c:v>
                </c:pt>
                <c:pt idx="10">
                  <c:v>Cycle</c:v>
                </c:pt>
              </c:strCache>
            </c:strRef>
          </c:cat>
          <c:val>
            <c:numRef>
              <c:f>Compare!$B$3:$B$13</c:f>
              <c:numCache>
                <c:formatCode>General</c:formatCode>
                <c:ptCount val="11"/>
                <c:pt idx="0">
                  <c:v>19</c:v>
                </c:pt>
                <c:pt idx="1">
                  <c:v>14</c:v>
                </c:pt>
                <c:pt idx="2">
                  <c:v>10</c:v>
                </c:pt>
                <c:pt idx="3">
                  <c:v>6</c:v>
                </c:pt>
                <c:pt idx="4">
                  <c:v>12</c:v>
                </c:pt>
                <c:pt idx="5">
                  <c:v>3</c:v>
                </c:pt>
                <c:pt idx="6">
                  <c:v>9</c:v>
                </c:pt>
                <c:pt idx="7">
                  <c:v>22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</c:ser>
        <c:gapWidth val="150"/>
        <c:overlap val="0"/>
        <c:axId val="64043802"/>
        <c:axId val="40180497"/>
      </c:barChart>
      <c:catAx>
        <c:axId val="640438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80497"/>
        <c:crosses val="autoZero"/>
        <c:auto val="1"/>
        <c:lblAlgn val="ctr"/>
        <c:lblOffset val="100"/>
        <c:noMultiLvlLbl val="0"/>
      </c:catAx>
      <c:valAx>
        <c:axId val="4018049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43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Clean: 4 labels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Compare!E2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Compare!$D$3:$D$6</c:f>
              <c:strCache>
                <c:ptCount val="4"/>
                <c:pt idx="0">
                  <c:v>Bus</c:v>
                </c:pt>
                <c:pt idx="1">
                  <c:v>Walk</c:v>
                </c:pt>
                <c:pt idx="2">
                  <c:v>Car</c:v>
                </c:pt>
                <c:pt idx="3">
                  <c:v>Bike</c:v>
                </c:pt>
              </c:strCache>
            </c:strRef>
          </c:cat>
          <c:val>
            <c:numRef>
              <c:f>Compare!$E$3:$E$6</c:f>
              <c:numCache>
                <c:formatCode>General</c:formatCode>
                <c:ptCount val="4"/>
                <c:pt idx="0">
                  <c:v>44</c:v>
                </c:pt>
                <c:pt idx="1">
                  <c:v>23</c:v>
                </c:pt>
                <c:pt idx="2">
                  <c:v>25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3908578"/>
        <c:axId val="62500894"/>
      </c:barChart>
      <c:catAx>
        <c:axId val="3908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00894"/>
        <c:crosses val="autoZero"/>
        <c:auto val="1"/>
        <c:lblAlgn val="ctr"/>
        <c:lblOffset val="100"/>
        <c:noMultiLvlLbl val="0"/>
      </c:catAx>
      <c:valAx>
        <c:axId val="625008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8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14</xdr:row>
      <xdr:rowOff>32400</xdr:rowOff>
    </xdr:to>
    <xdr:graphicFrame>
      <xdr:nvGraphicFramePr>
        <xdr:cNvPr id="0" name="Chart 1"/>
        <xdr:cNvGraphicFramePr/>
      </xdr:nvGraphicFramePr>
      <xdr:xfrm>
        <a:off x="4981680" y="190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11</xdr:col>
      <xdr:colOff>542160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4981680" y="342900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6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5" t="s">
        <v>6</v>
      </c>
    </row>
    <row r="12" customFormat="false" ht="26.85" hidden="false" customHeight="false" outlineLevel="0" collapsed="false">
      <c r="B12" s="5" t="s">
        <v>7</v>
      </c>
    </row>
    <row r="13" customFormat="false" ht="15" hidden="false" customHeight="false" outlineLevel="0" collapsed="false">
      <c r="B13" s="5" t="s">
        <v>8</v>
      </c>
    </row>
    <row r="14" customFormat="false" ht="15" hidden="false" customHeight="false" outlineLevel="0" collapsed="false">
      <c r="B14" s="5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6" t="s">
        <v>11</v>
      </c>
    </row>
    <row r="18" customFormat="false" ht="26.85" hidden="false" customHeight="false" outlineLevel="0" collapsed="false">
      <c r="B18" s="5" t="s">
        <v>12</v>
      </c>
    </row>
    <row r="19" customFormat="false" ht="15" hidden="false" customHeight="false" outlineLevel="0" collapsed="false">
      <c r="B19" s="5" t="s">
        <v>13</v>
      </c>
    </row>
    <row r="20" customFormat="false" ht="15" hidden="false" customHeight="false" outlineLevel="0" collapsed="false">
      <c r="B20" s="5" t="s">
        <v>14</v>
      </c>
    </row>
    <row r="21" customFormat="false" ht="15" hidden="false" customHeight="false" outlineLevel="0" collapsed="false">
      <c r="B21" s="5" t="s">
        <v>15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8"/>
  </cols>
  <sheetData>
    <row r="1" customFormat="false" ht="36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H1" s="9" t="s">
        <v>23</v>
      </c>
    </row>
    <row r="2" customFormat="false" ht="15" hidden="false" customHeight="false" outlineLevel="0" collapsed="false">
      <c r="A2" s="10" t="n">
        <v>89</v>
      </c>
      <c r="B2" s="10" t="s">
        <v>24</v>
      </c>
      <c r="C2" s="10" t="n">
        <v>162</v>
      </c>
      <c r="D2" s="10" t="n">
        <v>7.5</v>
      </c>
      <c r="E2" s="10" t="s">
        <v>25</v>
      </c>
      <c r="F2" s="10" t="s">
        <v>26</v>
      </c>
    </row>
    <row r="3" customFormat="false" ht="15" hidden="false" customHeight="false" outlineLevel="0" collapsed="false">
      <c r="A3" s="10" t="n">
        <v>55</v>
      </c>
      <c r="B3" s="10" t="s">
        <v>27</v>
      </c>
      <c r="C3" s="10" t="n">
        <v>157</v>
      </c>
      <c r="D3" s="10" t="n">
        <v>7</v>
      </c>
      <c r="E3" s="10" t="s">
        <v>28</v>
      </c>
      <c r="F3" s="10" t="s">
        <v>29</v>
      </c>
    </row>
    <row r="4" customFormat="false" ht="15" hidden="false" customHeight="false" outlineLevel="0" collapsed="false">
      <c r="A4" s="10" t="n">
        <v>57</v>
      </c>
      <c r="B4" s="10" t="s">
        <v>30</v>
      </c>
      <c r="C4" s="10" t="s">
        <v>31</v>
      </c>
      <c r="D4" s="10" t="n">
        <v>7</v>
      </c>
      <c r="E4" s="10" t="s">
        <v>25</v>
      </c>
      <c r="F4" s="10" t="s">
        <v>32</v>
      </c>
    </row>
    <row r="5" customFormat="false" ht="15" hidden="false" customHeight="false" outlineLevel="0" collapsed="false">
      <c r="A5" s="10" t="n">
        <v>2</v>
      </c>
      <c r="B5" s="10" t="s">
        <v>24</v>
      </c>
      <c r="C5" s="10" t="n">
        <v>171</v>
      </c>
      <c r="D5" s="10" t="n">
        <v>7</v>
      </c>
      <c r="E5" s="10" t="s">
        <v>33</v>
      </c>
      <c r="F5" s="10" t="s">
        <v>34</v>
      </c>
    </row>
    <row r="6" customFormat="false" ht="15" hidden="false" customHeight="false" outlineLevel="0" collapsed="false">
      <c r="A6" s="10" t="n">
        <v>88</v>
      </c>
      <c r="B6" s="10" t="s">
        <v>35</v>
      </c>
      <c r="C6" s="10" t="n">
        <v>168</v>
      </c>
      <c r="D6" s="10" t="n">
        <v>6.5</v>
      </c>
      <c r="E6" s="10" t="s">
        <v>25</v>
      </c>
      <c r="F6" s="10" t="s">
        <v>36</v>
      </c>
    </row>
    <row r="7" customFormat="false" ht="15" hidden="false" customHeight="false" outlineLevel="0" collapsed="false">
      <c r="A7" s="10" t="n">
        <v>80</v>
      </c>
      <c r="B7" s="10" t="s">
        <v>37</v>
      </c>
      <c r="C7" s="10" t="n">
        <v>169</v>
      </c>
      <c r="D7" s="10" t="n">
        <v>7</v>
      </c>
      <c r="E7" s="10" t="s">
        <v>25</v>
      </c>
      <c r="F7" s="10" t="s">
        <v>32</v>
      </c>
    </row>
    <row r="8" customFormat="false" ht="15" hidden="false" customHeight="false" outlineLevel="0" collapsed="false">
      <c r="A8" s="10" t="n">
        <v>36</v>
      </c>
      <c r="B8" s="10" t="s">
        <v>38</v>
      </c>
      <c r="C8" s="10" t="n">
        <v>180</v>
      </c>
      <c r="D8" s="10" t="n">
        <v>7</v>
      </c>
      <c r="E8" s="10" t="s">
        <v>25</v>
      </c>
      <c r="F8" s="10" t="s">
        <v>39</v>
      </c>
    </row>
    <row r="9" customFormat="false" ht="15" hidden="false" customHeight="false" outlineLevel="0" collapsed="false">
      <c r="A9" s="10" t="n">
        <v>68</v>
      </c>
      <c r="B9" s="10" t="s">
        <v>40</v>
      </c>
      <c r="C9" s="10" t="n">
        <v>178</v>
      </c>
      <c r="D9" s="10" t="s">
        <v>41</v>
      </c>
      <c r="E9" s="10" t="s">
        <v>42</v>
      </c>
      <c r="F9" s="10" t="s">
        <v>34</v>
      </c>
    </row>
    <row r="10" customFormat="false" ht="15" hidden="false" customHeight="false" outlineLevel="0" collapsed="false">
      <c r="A10" s="10" t="n">
        <v>74</v>
      </c>
      <c r="B10" s="10" t="s">
        <v>43</v>
      </c>
      <c r="C10" s="10" t="n">
        <v>1.58</v>
      </c>
      <c r="D10" s="10" t="n">
        <v>5.5</v>
      </c>
      <c r="E10" s="10" t="s">
        <v>25</v>
      </c>
      <c r="F10" s="10" t="s">
        <v>36</v>
      </c>
    </row>
    <row r="11" customFormat="false" ht="15" hidden="false" customHeight="false" outlineLevel="0" collapsed="false">
      <c r="A11" s="10" t="n">
        <v>22</v>
      </c>
      <c r="B11" s="10" t="s">
        <v>24</v>
      </c>
      <c r="C11" s="10" t="n">
        <v>166</v>
      </c>
      <c r="D11" s="10" t="n">
        <v>6</v>
      </c>
      <c r="E11" s="10" t="s">
        <v>25</v>
      </c>
      <c r="F11" s="10" t="s">
        <v>34</v>
      </c>
    </row>
    <row r="12" customFormat="false" ht="15" hidden="false" customHeight="false" outlineLevel="0" collapsed="false">
      <c r="A12" s="10" t="n">
        <v>74</v>
      </c>
      <c r="B12" s="10" t="s">
        <v>43</v>
      </c>
      <c r="C12" s="10" t="n">
        <v>1.58</v>
      </c>
      <c r="D12" s="10" t="n">
        <v>5.5</v>
      </c>
      <c r="E12" s="10" t="s">
        <v>25</v>
      </c>
      <c r="F12" s="10" t="s">
        <v>36</v>
      </c>
    </row>
    <row r="13" customFormat="false" ht="15" hidden="false" customHeight="false" outlineLevel="0" collapsed="false">
      <c r="A13" s="10" t="n">
        <v>100</v>
      </c>
      <c r="B13" s="10" t="s">
        <v>44</v>
      </c>
      <c r="C13" s="10" t="n">
        <v>155</v>
      </c>
      <c r="D13" s="10" t="n">
        <v>7.5</v>
      </c>
      <c r="E13" s="10" t="s">
        <v>25</v>
      </c>
      <c r="F13" s="10" t="s">
        <v>45</v>
      </c>
    </row>
    <row r="14" customFormat="false" ht="15" hidden="false" customHeight="false" outlineLevel="0" collapsed="false">
      <c r="A14" s="10" t="n">
        <v>87</v>
      </c>
      <c r="B14" s="10" t="s">
        <v>46</v>
      </c>
      <c r="C14" s="10" t="n">
        <v>176</v>
      </c>
      <c r="D14" s="10" t="n">
        <v>7.5</v>
      </c>
      <c r="E14" s="10" t="s">
        <v>25</v>
      </c>
      <c r="F14" s="10" t="s">
        <v>32</v>
      </c>
    </row>
    <row r="15" customFormat="false" ht="15" hidden="false" customHeight="false" outlineLevel="0" collapsed="false">
      <c r="A15" s="10" t="n">
        <v>20</v>
      </c>
      <c r="B15" s="10" t="s">
        <v>24</v>
      </c>
      <c r="C15" s="10" t="n">
        <v>1.71</v>
      </c>
      <c r="D15" s="10" t="n">
        <v>5.5</v>
      </c>
      <c r="E15" s="10" t="s">
        <v>25</v>
      </c>
      <c r="F15" s="10" t="s">
        <v>36</v>
      </c>
    </row>
    <row r="16" customFormat="false" ht="15" hidden="false" customHeight="false" outlineLevel="0" collapsed="false">
      <c r="A16" s="10" t="n">
        <v>10</v>
      </c>
      <c r="B16" s="10" t="s">
        <v>35</v>
      </c>
      <c r="C16" s="10" t="n">
        <v>170</v>
      </c>
      <c r="D16" s="10" t="s">
        <v>47</v>
      </c>
      <c r="E16" s="10" t="s">
        <v>28</v>
      </c>
      <c r="F16" s="10" t="s">
        <v>36</v>
      </c>
    </row>
    <row r="17" customFormat="false" ht="15" hidden="false" customHeight="false" outlineLevel="0" collapsed="false">
      <c r="A17" s="10" t="n">
        <v>72</v>
      </c>
      <c r="B17" s="10" t="s">
        <v>48</v>
      </c>
      <c r="C17" s="10" t="n">
        <v>171</v>
      </c>
      <c r="D17" s="10" t="n">
        <v>7.5</v>
      </c>
      <c r="E17" s="10" t="s">
        <v>49</v>
      </c>
      <c r="F17" s="10" t="s">
        <v>45</v>
      </c>
    </row>
    <row r="18" customFormat="false" ht="15" hidden="false" customHeight="false" outlineLevel="0" collapsed="false">
      <c r="A18" s="10" t="n">
        <v>83</v>
      </c>
      <c r="B18" s="10" t="s">
        <v>46</v>
      </c>
      <c r="C18" s="10" t="n">
        <v>170</v>
      </c>
      <c r="D18" s="10" t="n">
        <v>7.5</v>
      </c>
      <c r="E18" s="10" t="s">
        <v>50</v>
      </c>
      <c r="F18" s="10" t="s">
        <v>51</v>
      </c>
    </row>
    <row r="19" customFormat="false" ht="15" hidden="false" customHeight="false" outlineLevel="0" collapsed="false">
      <c r="A19" s="10" t="n">
        <v>86</v>
      </c>
      <c r="B19" s="10" t="s">
        <v>52</v>
      </c>
      <c r="C19" s="10" t="n">
        <v>172</v>
      </c>
      <c r="D19" s="10" t="n">
        <v>7</v>
      </c>
      <c r="E19" s="10" t="s">
        <v>53</v>
      </c>
      <c r="F19" s="10" t="s">
        <v>32</v>
      </c>
    </row>
    <row r="20" customFormat="false" ht="15" hidden="false" customHeight="false" outlineLevel="0" collapsed="false">
      <c r="A20" s="10" t="n">
        <v>24</v>
      </c>
      <c r="B20" s="10" t="s">
        <v>54</v>
      </c>
      <c r="C20" s="10" t="n">
        <v>1650</v>
      </c>
      <c r="D20" s="10" t="n">
        <v>7.5</v>
      </c>
      <c r="E20" s="10" t="s">
        <v>28</v>
      </c>
      <c r="F20" s="10" t="s">
        <v>55</v>
      </c>
    </row>
    <row r="21" customFormat="false" ht="15" hidden="false" customHeight="false" outlineLevel="0" collapsed="false">
      <c r="A21" s="10" t="n">
        <v>5</v>
      </c>
      <c r="B21" s="10" t="s">
        <v>27</v>
      </c>
      <c r="C21" s="10" t="n">
        <v>184</v>
      </c>
      <c r="D21" s="10" t="n">
        <v>8.5</v>
      </c>
      <c r="E21" s="10" t="s">
        <v>53</v>
      </c>
      <c r="F21" s="10" t="s">
        <v>32</v>
      </c>
    </row>
    <row r="22" customFormat="false" ht="15" hidden="false" customHeight="false" outlineLevel="0" collapsed="false">
      <c r="A22" s="10" t="n">
        <v>82</v>
      </c>
      <c r="B22" s="10" t="s">
        <v>56</v>
      </c>
      <c r="C22" s="10" t="n">
        <v>170</v>
      </c>
      <c r="D22" s="10" t="n">
        <v>7</v>
      </c>
      <c r="E22" s="10" t="s">
        <v>33</v>
      </c>
      <c r="F22" s="10" t="s">
        <v>26</v>
      </c>
    </row>
    <row r="23" customFormat="false" ht="15" hidden="false" customHeight="false" outlineLevel="0" collapsed="false">
      <c r="A23" s="10" t="n">
        <v>48</v>
      </c>
      <c r="B23" s="10" t="s">
        <v>38</v>
      </c>
      <c r="C23" s="10" t="n">
        <v>166</v>
      </c>
      <c r="D23" s="10" t="n">
        <v>7.5</v>
      </c>
      <c r="E23" s="10" t="s">
        <v>50</v>
      </c>
      <c r="F23" s="10" t="s">
        <v>29</v>
      </c>
    </row>
    <row r="24" customFormat="false" ht="15" hidden="false" customHeight="false" outlineLevel="0" collapsed="false">
      <c r="A24" s="10" t="n">
        <v>64</v>
      </c>
      <c r="B24" s="10" t="s">
        <v>38</v>
      </c>
      <c r="C24" s="10" t="n">
        <v>1.6</v>
      </c>
      <c r="D24" s="10" t="n">
        <v>7</v>
      </c>
      <c r="E24" s="10" t="s">
        <v>25</v>
      </c>
      <c r="F24" s="10" t="s">
        <v>32</v>
      </c>
    </row>
    <row r="25" customFormat="false" ht="15" hidden="false" customHeight="false" outlineLevel="0" collapsed="false">
      <c r="A25" s="10" t="n">
        <v>27</v>
      </c>
      <c r="B25" s="10" t="s">
        <v>24</v>
      </c>
      <c r="C25" s="10" t="n">
        <v>177</v>
      </c>
      <c r="D25" s="10" t="n">
        <v>9</v>
      </c>
      <c r="E25" s="10" t="s">
        <v>28</v>
      </c>
      <c r="F25" s="10" t="s">
        <v>36</v>
      </c>
    </row>
    <row r="26" customFormat="false" ht="15" hidden="false" customHeight="false" outlineLevel="0" collapsed="false">
      <c r="A26" s="10" t="n">
        <v>42</v>
      </c>
      <c r="B26" s="10" t="s">
        <v>30</v>
      </c>
      <c r="C26" s="10" t="n">
        <v>174</v>
      </c>
      <c r="D26" s="10" t="n">
        <v>7</v>
      </c>
      <c r="E26" s="10" t="s">
        <v>25</v>
      </c>
      <c r="F26" s="10" t="s">
        <v>55</v>
      </c>
    </row>
    <row r="27" customFormat="false" ht="15" hidden="false" customHeight="false" outlineLevel="0" collapsed="false">
      <c r="A27" s="10" t="n">
        <v>17</v>
      </c>
      <c r="B27" s="10" t="s">
        <v>37</v>
      </c>
      <c r="C27" s="10" t="n">
        <v>172</v>
      </c>
      <c r="D27" s="10" t="n">
        <v>7.5</v>
      </c>
      <c r="E27" s="10" t="s">
        <v>33</v>
      </c>
      <c r="F27" s="10" t="s">
        <v>34</v>
      </c>
    </row>
    <row r="28" customFormat="false" ht="15" hidden="false" customHeight="false" outlineLevel="0" collapsed="false">
      <c r="A28" s="10" t="n">
        <v>30</v>
      </c>
      <c r="B28" s="10" t="s">
        <v>24</v>
      </c>
      <c r="C28" s="10" t="n">
        <v>165</v>
      </c>
      <c r="D28" s="10" t="n">
        <v>7.5</v>
      </c>
      <c r="E28" s="10" t="s">
        <v>42</v>
      </c>
      <c r="F28" s="10" t="s">
        <v>32</v>
      </c>
    </row>
    <row r="29" customFormat="false" ht="15" hidden="false" customHeight="false" outlineLevel="0" collapsed="false">
      <c r="A29" s="10" t="n">
        <v>94</v>
      </c>
      <c r="B29" s="10" t="s">
        <v>56</v>
      </c>
      <c r="C29" s="10" t="n">
        <v>172</v>
      </c>
      <c r="D29" s="10" t="n">
        <v>6.5</v>
      </c>
      <c r="E29" s="10" t="s">
        <v>49</v>
      </c>
      <c r="F29" s="10" t="s">
        <v>36</v>
      </c>
    </row>
    <row r="30" customFormat="false" ht="15" hidden="false" customHeight="false" outlineLevel="0" collapsed="false">
      <c r="A30" s="10" t="n">
        <v>93</v>
      </c>
      <c r="B30" s="10" t="s">
        <v>40</v>
      </c>
      <c r="C30" s="10" t="n">
        <v>153</v>
      </c>
      <c r="D30" s="10" t="n">
        <v>7</v>
      </c>
      <c r="E30" s="10" t="s">
        <v>50</v>
      </c>
      <c r="F30" s="10" t="s">
        <v>57</v>
      </c>
    </row>
    <row r="31" customFormat="false" ht="15" hidden="false" customHeight="false" outlineLevel="0" collapsed="false">
      <c r="A31" s="10" t="n">
        <v>9</v>
      </c>
      <c r="B31" s="10" t="s">
        <v>24</v>
      </c>
      <c r="C31" s="10" t="n">
        <v>170</v>
      </c>
      <c r="D31" s="10" t="n">
        <v>6</v>
      </c>
      <c r="E31" s="10" t="s">
        <v>25</v>
      </c>
      <c r="F31" s="10" t="s">
        <v>57</v>
      </c>
    </row>
    <row r="32" customFormat="false" ht="15" hidden="false" customHeight="false" outlineLevel="0" collapsed="false">
      <c r="A32" s="10" t="n">
        <v>21</v>
      </c>
      <c r="B32" s="10" t="s">
        <v>58</v>
      </c>
      <c r="C32" s="10" t="n">
        <v>168</v>
      </c>
      <c r="D32" s="10" t="n">
        <v>5</v>
      </c>
      <c r="E32" s="10" t="s">
        <v>49</v>
      </c>
      <c r="F32" s="10" t="s">
        <v>34</v>
      </c>
    </row>
    <row r="33" customFormat="false" ht="15" hidden="false" customHeight="false" outlineLevel="0" collapsed="false">
      <c r="A33" s="10" t="n">
        <v>7</v>
      </c>
      <c r="B33" s="10" t="s">
        <v>24</v>
      </c>
      <c r="C33" s="10" t="n">
        <v>166</v>
      </c>
      <c r="D33" s="10" t="n">
        <v>8.5</v>
      </c>
      <c r="E33" s="10" t="s">
        <v>49</v>
      </c>
      <c r="F33" s="10" t="s">
        <v>34</v>
      </c>
    </row>
    <row r="34" customFormat="false" ht="15" hidden="false" customHeight="false" outlineLevel="0" collapsed="false">
      <c r="A34" s="10" t="n">
        <v>3</v>
      </c>
      <c r="B34" s="10" t="s">
        <v>54</v>
      </c>
      <c r="C34" s="10" t="n">
        <v>1.74</v>
      </c>
      <c r="D34" s="10" t="n">
        <v>7</v>
      </c>
      <c r="E34" s="10" t="s">
        <v>53</v>
      </c>
      <c r="F34" s="10" t="s">
        <v>51</v>
      </c>
    </row>
    <row r="35" customFormat="false" ht="15" hidden="false" customHeight="false" outlineLevel="0" collapsed="false">
      <c r="A35" s="10" t="n">
        <v>85</v>
      </c>
      <c r="B35" s="10" t="s">
        <v>38</v>
      </c>
      <c r="C35" s="10" t="n">
        <v>168</v>
      </c>
      <c r="D35" s="10" t="n">
        <v>7.5</v>
      </c>
      <c r="E35" s="10" t="s">
        <v>28</v>
      </c>
      <c r="F35" s="10" t="s">
        <v>32</v>
      </c>
    </row>
    <row r="36" customFormat="false" ht="15" hidden="false" customHeight="false" outlineLevel="0" collapsed="false">
      <c r="A36" s="10" t="n">
        <v>61</v>
      </c>
      <c r="B36" s="10" t="s">
        <v>54</v>
      </c>
      <c r="C36" s="10" t="n">
        <v>182</v>
      </c>
      <c r="D36" s="10" t="n">
        <v>7.5</v>
      </c>
      <c r="E36" s="10" t="s">
        <v>53</v>
      </c>
      <c r="F36" s="10" t="s">
        <v>57</v>
      </c>
    </row>
    <row r="37" customFormat="false" ht="15" hidden="false" customHeight="false" outlineLevel="0" collapsed="false">
      <c r="A37" s="10" t="n">
        <v>38</v>
      </c>
      <c r="B37" s="10" t="s">
        <v>24</v>
      </c>
      <c r="C37" s="10" t="n">
        <v>158</v>
      </c>
      <c r="D37" s="10" t="n">
        <v>8</v>
      </c>
      <c r="E37" s="10" t="s">
        <v>42</v>
      </c>
      <c r="F37" s="10" t="s">
        <v>32</v>
      </c>
    </row>
    <row r="38" customFormat="false" ht="15" hidden="false" customHeight="false" outlineLevel="0" collapsed="false">
      <c r="A38" s="10" t="n">
        <v>8</v>
      </c>
      <c r="B38" s="10" t="s">
        <v>30</v>
      </c>
      <c r="C38" s="10" t="n">
        <v>159</v>
      </c>
      <c r="D38" s="10" t="n">
        <v>7</v>
      </c>
      <c r="E38" s="10" t="s">
        <v>25</v>
      </c>
      <c r="F38" s="10" t="s">
        <v>39</v>
      </c>
    </row>
    <row r="39" customFormat="false" ht="15" hidden="false" customHeight="false" outlineLevel="0" collapsed="false">
      <c r="A39" s="10" t="n">
        <v>35</v>
      </c>
      <c r="B39" s="10" t="s">
        <v>56</v>
      </c>
      <c r="C39" s="10" t="n">
        <v>1690</v>
      </c>
      <c r="D39" s="10" t="n">
        <v>7</v>
      </c>
      <c r="E39" s="10" t="s">
        <v>49</v>
      </c>
      <c r="F39" s="10" t="s">
        <v>36</v>
      </c>
    </row>
    <row r="40" customFormat="false" ht="15" hidden="false" customHeight="false" outlineLevel="0" collapsed="false">
      <c r="A40" s="10" t="n">
        <v>1</v>
      </c>
      <c r="B40" s="10" t="s">
        <v>40</v>
      </c>
      <c r="C40" s="10" t="n">
        <v>168</v>
      </c>
      <c r="D40" s="10" t="s">
        <v>41</v>
      </c>
      <c r="E40" s="10" t="s">
        <v>49</v>
      </c>
      <c r="F40" s="10" t="s">
        <v>51</v>
      </c>
    </row>
    <row r="41" customFormat="false" ht="15" hidden="false" customHeight="false" outlineLevel="0" collapsed="false">
      <c r="A41" s="10" t="n">
        <v>65</v>
      </c>
      <c r="B41" s="10" t="s">
        <v>58</v>
      </c>
      <c r="C41" s="10" t="n">
        <v>175</v>
      </c>
      <c r="D41" s="10" t="n">
        <v>7</v>
      </c>
      <c r="E41" s="10" t="s">
        <v>28</v>
      </c>
      <c r="F41" s="10" t="s">
        <v>45</v>
      </c>
    </row>
    <row r="42" customFormat="false" ht="15" hidden="false" customHeight="false" outlineLevel="0" collapsed="false">
      <c r="A42" s="10" t="n">
        <v>19</v>
      </c>
      <c r="B42" s="10" t="s">
        <v>52</v>
      </c>
      <c r="C42" s="10" t="n">
        <v>172</v>
      </c>
      <c r="D42" s="10" t="n">
        <v>5.5</v>
      </c>
      <c r="E42" s="10" t="s">
        <v>53</v>
      </c>
      <c r="F42" s="10" t="s">
        <v>59</v>
      </c>
    </row>
    <row r="43" customFormat="false" ht="15" hidden="false" customHeight="false" outlineLevel="0" collapsed="false">
      <c r="A43" s="10" t="n">
        <v>52</v>
      </c>
      <c r="B43" s="10" t="s">
        <v>27</v>
      </c>
      <c r="C43" s="10" t="n">
        <v>191</v>
      </c>
      <c r="D43" s="10" t="n">
        <v>6.5</v>
      </c>
      <c r="E43" s="10" t="s">
        <v>25</v>
      </c>
      <c r="F43" s="10" t="s">
        <v>29</v>
      </c>
    </row>
    <row r="44" customFormat="false" ht="15" hidden="false" customHeight="false" outlineLevel="0" collapsed="false">
      <c r="A44" s="10" t="n">
        <v>13</v>
      </c>
      <c r="B44" s="10" t="s">
        <v>48</v>
      </c>
      <c r="C44" s="10" t="s">
        <v>60</v>
      </c>
      <c r="D44" s="10" t="n">
        <v>6.5</v>
      </c>
      <c r="E44" s="10" t="s">
        <v>53</v>
      </c>
      <c r="F44" s="10" t="s">
        <v>32</v>
      </c>
    </row>
    <row r="45" customFormat="false" ht="15" hidden="false" customHeight="false" outlineLevel="0" collapsed="false">
      <c r="A45" s="10" t="n">
        <v>21</v>
      </c>
      <c r="B45" s="10" t="s">
        <v>58</v>
      </c>
      <c r="C45" s="10" t="n">
        <v>168</v>
      </c>
      <c r="D45" s="10" t="n">
        <v>5</v>
      </c>
      <c r="E45" s="10" t="s">
        <v>49</v>
      </c>
      <c r="F45" s="10" t="s">
        <v>34</v>
      </c>
    </row>
    <row r="46" customFormat="false" ht="15" hidden="false" customHeight="false" outlineLevel="0" collapsed="false">
      <c r="A46" s="10" t="n">
        <v>15</v>
      </c>
      <c r="B46" s="10" t="s">
        <v>52</v>
      </c>
      <c r="C46" s="10" t="s">
        <v>61</v>
      </c>
      <c r="D46" s="10" t="n">
        <v>6</v>
      </c>
      <c r="E46" s="10" t="s">
        <v>25</v>
      </c>
      <c r="F46" s="10" t="s">
        <v>57</v>
      </c>
    </row>
    <row r="47" customFormat="false" ht="15" hidden="false" customHeight="false" outlineLevel="0" collapsed="false">
      <c r="A47" s="10" t="n">
        <v>39</v>
      </c>
      <c r="B47" s="10" t="s">
        <v>40</v>
      </c>
      <c r="C47" s="10" t="n">
        <v>160</v>
      </c>
      <c r="D47" s="10" t="n">
        <v>8</v>
      </c>
      <c r="E47" s="10" t="s">
        <v>28</v>
      </c>
      <c r="F47" s="10" t="s">
        <v>36</v>
      </c>
    </row>
    <row r="48" customFormat="false" ht="15" hidden="false" customHeight="false" outlineLevel="0" collapsed="false">
      <c r="A48" s="10" t="n">
        <v>16</v>
      </c>
      <c r="B48" s="10" t="s">
        <v>52</v>
      </c>
      <c r="C48" s="10" t="n">
        <v>179</v>
      </c>
      <c r="D48" s="10" t="n">
        <v>7</v>
      </c>
      <c r="E48" s="10" t="s">
        <v>28</v>
      </c>
      <c r="F48" s="10" t="s">
        <v>36</v>
      </c>
    </row>
    <row r="49" customFormat="false" ht="15" hidden="false" customHeight="false" outlineLevel="0" collapsed="false">
      <c r="A49" s="10" t="n">
        <v>75</v>
      </c>
      <c r="B49" s="10" t="s">
        <v>48</v>
      </c>
      <c r="C49" s="10" t="n">
        <v>167</v>
      </c>
      <c r="D49" s="10" t="n">
        <v>8.5</v>
      </c>
      <c r="E49" s="10" t="s">
        <v>33</v>
      </c>
      <c r="F49" s="10" t="s">
        <v>39</v>
      </c>
    </row>
    <row r="50" customFormat="false" ht="15" hidden="false" customHeight="false" outlineLevel="0" collapsed="false">
      <c r="A50" s="10" t="n">
        <v>63</v>
      </c>
      <c r="B50" s="10" t="s">
        <v>48</v>
      </c>
      <c r="C50" s="10" t="n">
        <v>156</v>
      </c>
      <c r="D50" s="10" t="n">
        <v>7.5</v>
      </c>
      <c r="E50" s="10" t="s">
        <v>28</v>
      </c>
      <c r="F50" s="10" t="s">
        <v>57</v>
      </c>
    </row>
    <row r="51" customFormat="false" ht="15" hidden="false" customHeight="false" outlineLevel="0" collapsed="false">
      <c r="A51" s="10" t="n">
        <v>95</v>
      </c>
      <c r="B51" s="10" t="s">
        <v>35</v>
      </c>
      <c r="C51" s="10" t="n">
        <v>168</v>
      </c>
      <c r="D51" s="10" t="n">
        <v>7</v>
      </c>
      <c r="E51" s="10" t="s">
        <v>42</v>
      </c>
      <c r="F51" s="10" t="s">
        <v>34</v>
      </c>
    </row>
    <row r="52" customFormat="false" ht="15" hidden="false" customHeight="false" outlineLevel="0" collapsed="false">
      <c r="A52" s="10" t="n">
        <v>25</v>
      </c>
      <c r="B52" s="10" t="s">
        <v>43</v>
      </c>
      <c r="C52" s="10" t="n">
        <v>171</v>
      </c>
      <c r="D52" s="10" t="n">
        <v>6</v>
      </c>
      <c r="E52" s="10" t="s">
        <v>25</v>
      </c>
      <c r="F52" s="10" t="s">
        <v>29</v>
      </c>
    </row>
    <row r="53" customFormat="false" ht="15" hidden="false" customHeight="false" outlineLevel="0" collapsed="false">
      <c r="A53" s="10" t="n">
        <v>37</v>
      </c>
      <c r="B53" s="10" t="s">
        <v>38</v>
      </c>
      <c r="C53" s="10" t="n">
        <v>176</v>
      </c>
      <c r="D53" s="10" t="n">
        <v>6.5</v>
      </c>
      <c r="E53" s="10" t="s">
        <v>49</v>
      </c>
      <c r="F53" s="10" t="s">
        <v>51</v>
      </c>
    </row>
    <row r="54" customFormat="false" ht="15" hidden="false" customHeight="false" outlineLevel="0" collapsed="false">
      <c r="A54" s="10" t="n">
        <v>73</v>
      </c>
      <c r="B54" s="10" t="s">
        <v>35</v>
      </c>
      <c r="C54" s="10" t="n">
        <v>179</v>
      </c>
      <c r="D54" s="10" t="n">
        <v>6</v>
      </c>
      <c r="E54" s="10" t="s">
        <v>50</v>
      </c>
      <c r="F54" s="10" t="s">
        <v>51</v>
      </c>
    </row>
    <row r="55" customFormat="false" ht="15" hidden="false" customHeight="false" outlineLevel="0" collapsed="false">
      <c r="A55" s="10" t="n">
        <v>90</v>
      </c>
      <c r="B55" s="10" t="s">
        <v>38</v>
      </c>
      <c r="C55" s="10" t="n">
        <v>170</v>
      </c>
      <c r="D55" s="10" t="n">
        <v>5.5</v>
      </c>
      <c r="E55" s="10" t="s">
        <v>50</v>
      </c>
      <c r="F55" s="10" t="s">
        <v>34</v>
      </c>
    </row>
    <row r="56" customFormat="false" ht="15" hidden="false" customHeight="false" outlineLevel="0" collapsed="false">
      <c r="A56" s="10" t="n">
        <v>77</v>
      </c>
      <c r="B56" s="10" t="s">
        <v>24</v>
      </c>
      <c r="C56" s="10" t="s">
        <v>62</v>
      </c>
      <c r="D56" s="10" t="n">
        <v>5</v>
      </c>
      <c r="E56" s="10" t="s">
        <v>25</v>
      </c>
      <c r="F56" s="10" t="s">
        <v>55</v>
      </c>
    </row>
    <row r="57" customFormat="false" ht="15" hidden="false" customHeight="false" outlineLevel="0" collapsed="false">
      <c r="A57" s="10" t="n">
        <v>12</v>
      </c>
      <c r="B57" s="10" t="s">
        <v>30</v>
      </c>
      <c r="C57" s="10" t="n">
        <v>168</v>
      </c>
      <c r="D57" s="10" t="n">
        <v>8.5</v>
      </c>
      <c r="E57" s="10" t="s">
        <v>50</v>
      </c>
      <c r="F57" s="10" t="s">
        <v>34</v>
      </c>
    </row>
    <row r="58" customFormat="false" ht="15" hidden="false" customHeight="false" outlineLevel="0" collapsed="false">
      <c r="A58" s="10" t="n">
        <v>67</v>
      </c>
      <c r="B58" s="10" t="s">
        <v>35</v>
      </c>
      <c r="C58" s="10" t="n">
        <v>164</v>
      </c>
      <c r="D58" s="10" t="n">
        <v>25</v>
      </c>
      <c r="E58" s="10" t="s">
        <v>28</v>
      </c>
      <c r="F58" s="10" t="s">
        <v>29</v>
      </c>
    </row>
    <row r="59" customFormat="false" ht="15" hidden="false" customHeight="false" outlineLevel="0" collapsed="false">
      <c r="A59" s="10" t="n">
        <v>41</v>
      </c>
      <c r="B59" s="10" t="s">
        <v>30</v>
      </c>
      <c r="C59" s="10" t="n">
        <v>165</v>
      </c>
      <c r="D59" s="10" t="n">
        <v>6.5</v>
      </c>
      <c r="E59" s="10" t="s">
        <v>25</v>
      </c>
      <c r="F59" s="10" t="s">
        <v>34</v>
      </c>
    </row>
    <row r="60" customFormat="false" ht="15" hidden="false" customHeight="false" outlineLevel="0" collapsed="false">
      <c r="A60" s="10" t="n">
        <v>99</v>
      </c>
      <c r="B60" s="10" t="s">
        <v>30</v>
      </c>
      <c r="C60" s="10" t="n">
        <v>1.69</v>
      </c>
      <c r="D60" s="10" t="n">
        <v>7</v>
      </c>
      <c r="E60" s="10" t="s">
        <v>25</v>
      </c>
      <c r="F60" s="10" t="s">
        <v>29</v>
      </c>
    </row>
    <row r="61" customFormat="false" ht="15" hidden="false" customHeight="false" outlineLevel="0" collapsed="false">
      <c r="A61" s="10" t="n">
        <v>29</v>
      </c>
      <c r="B61" s="10" t="s">
        <v>58</v>
      </c>
      <c r="C61" s="10" t="n">
        <v>1.68</v>
      </c>
      <c r="D61" s="10" t="n">
        <v>6.5</v>
      </c>
      <c r="E61" s="10" t="s">
        <v>50</v>
      </c>
      <c r="F61" s="10" t="s">
        <v>36</v>
      </c>
    </row>
    <row r="62" customFormat="false" ht="15" hidden="false" customHeight="false" outlineLevel="0" collapsed="false">
      <c r="A62" s="10" t="n">
        <v>98</v>
      </c>
      <c r="B62" s="10" t="s">
        <v>56</v>
      </c>
      <c r="C62" s="10" t="n">
        <v>168</v>
      </c>
      <c r="D62" s="10" t="n">
        <v>9</v>
      </c>
      <c r="E62" s="10" t="s">
        <v>28</v>
      </c>
      <c r="F62" s="10" t="s">
        <v>34</v>
      </c>
    </row>
    <row r="63" customFormat="false" ht="15" hidden="false" customHeight="false" outlineLevel="0" collapsed="false">
      <c r="A63" s="10" t="n">
        <v>47</v>
      </c>
      <c r="B63" s="10" t="s">
        <v>46</v>
      </c>
      <c r="C63" s="10" t="n">
        <v>157</v>
      </c>
      <c r="D63" s="10" t="n">
        <v>6.5</v>
      </c>
      <c r="E63" s="10" t="s">
        <v>25</v>
      </c>
      <c r="F63" s="10" t="s">
        <v>34</v>
      </c>
    </row>
    <row r="64" customFormat="false" ht="15" hidden="false" customHeight="false" outlineLevel="0" collapsed="false">
      <c r="A64" s="10" t="n">
        <v>51</v>
      </c>
      <c r="B64" s="10" t="s">
        <v>63</v>
      </c>
      <c r="C64" s="10" t="n">
        <v>1.79</v>
      </c>
      <c r="D64" s="10" t="n">
        <v>7</v>
      </c>
      <c r="E64" s="10" t="s">
        <v>49</v>
      </c>
      <c r="F64" s="10" t="s">
        <v>59</v>
      </c>
    </row>
    <row r="65" customFormat="false" ht="15" hidden="false" customHeight="false" outlineLevel="0" collapsed="false">
      <c r="A65" s="10" t="n">
        <v>96</v>
      </c>
      <c r="B65" s="10" t="s">
        <v>30</v>
      </c>
      <c r="C65" s="10" t="n">
        <v>168</v>
      </c>
      <c r="D65" s="10" t="n">
        <v>8</v>
      </c>
      <c r="E65" s="10" t="s">
        <v>42</v>
      </c>
      <c r="F65" s="10" t="s">
        <v>36</v>
      </c>
    </row>
    <row r="66" customFormat="false" ht="15" hidden="false" customHeight="false" outlineLevel="0" collapsed="false">
      <c r="A66" s="10" t="n">
        <v>14</v>
      </c>
      <c r="B66" s="10" t="s">
        <v>43</v>
      </c>
      <c r="C66" s="10" t="n">
        <v>195</v>
      </c>
      <c r="D66" s="10" t="n">
        <v>8.5</v>
      </c>
      <c r="E66" s="10" t="s">
        <v>42</v>
      </c>
      <c r="F66" s="10" t="s">
        <v>59</v>
      </c>
    </row>
    <row r="67" customFormat="false" ht="15" hidden="false" customHeight="false" outlineLevel="0" collapsed="false">
      <c r="A67" s="10" t="n">
        <v>18</v>
      </c>
      <c r="B67" s="10" t="s">
        <v>35</v>
      </c>
      <c r="C67" s="10" t="n">
        <v>167</v>
      </c>
      <c r="D67" s="10" t="n">
        <v>8.5</v>
      </c>
      <c r="E67" s="10" t="s">
        <v>53</v>
      </c>
      <c r="F67" s="10" t="s">
        <v>55</v>
      </c>
    </row>
    <row r="68" customFormat="false" ht="15" hidden="false" customHeight="false" outlineLevel="0" collapsed="false">
      <c r="A68" s="10" t="n">
        <v>57</v>
      </c>
      <c r="B68" s="10" t="s">
        <v>30</v>
      </c>
      <c r="C68" s="10" t="s">
        <v>31</v>
      </c>
      <c r="D68" s="10" t="n">
        <v>7</v>
      </c>
      <c r="E68" s="10" t="s">
        <v>25</v>
      </c>
      <c r="F68" s="10" t="s">
        <v>32</v>
      </c>
    </row>
    <row r="69" customFormat="false" ht="15" hidden="false" customHeight="false" outlineLevel="0" collapsed="false">
      <c r="A69" s="10" t="n">
        <v>45</v>
      </c>
      <c r="B69" s="10" t="s">
        <v>48</v>
      </c>
      <c r="C69" s="10" t="s">
        <v>64</v>
      </c>
      <c r="D69" s="10" t="n">
        <v>8</v>
      </c>
      <c r="E69" s="10" t="s">
        <v>25</v>
      </c>
      <c r="F69" s="10" t="s">
        <v>34</v>
      </c>
    </row>
    <row r="70" customFormat="false" ht="15" hidden="false" customHeight="false" outlineLevel="0" collapsed="false">
      <c r="A70" s="10" t="n">
        <v>62</v>
      </c>
      <c r="B70" s="10" t="s">
        <v>40</v>
      </c>
      <c r="C70" s="10" t="n">
        <v>1.7</v>
      </c>
      <c r="D70" s="10" t="n">
        <v>6.5</v>
      </c>
      <c r="E70" s="10" t="s">
        <v>28</v>
      </c>
      <c r="F70" s="10" t="s">
        <v>51</v>
      </c>
    </row>
    <row r="71" customFormat="false" ht="15" hidden="false" customHeight="false" outlineLevel="0" collapsed="false">
      <c r="A71" s="10" t="n">
        <v>71</v>
      </c>
      <c r="B71" s="10" t="s">
        <v>43</v>
      </c>
      <c r="C71" s="10" t="n">
        <v>168</v>
      </c>
      <c r="D71" s="10" t="n">
        <v>8.5</v>
      </c>
      <c r="E71" s="10" t="s">
        <v>53</v>
      </c>
      <c r="F71" s="10" t="s">
        <v>29</v>
      </c>
    </row>
    <row r="72" customFormat="false" ht="15" hidden="false" customHeight="false" outlineLevel="0" collapsed="false">
      <c r="A72" s="10" t="n">
        <v>46</v>
      </c>
      <c r="B72" s="10" t="s">
        <v>48</v>
      </c>
      <c r="C72" s="10" t="n">
        <v>177</v>
      </c>
      <c r="D72" s="10" t="n">
        <v>7</v>
      </c>
      <c r="E72" s="10" t="s">
        <v>25</v>
      </c>
      <c r="F72" s="10" t="s">
        <v>45</v>
      </c>
    </row>
    <row r="73" customFormat="false" ht="15" hidden="false" customHeight="false" outlineLevel="0" collapsed="false">
      <c r="A73" s="10" t="n">
        <v>28</v>
      </c>
      <c r="B73" s="10" t="s">
        <v>35</v>
      </c>
      <c r="C73" s="10" t="n">
        <v>180</v>
      </c>
      <c r="D73" s="10" t="n">
        <v>7.5</v>
      </c>
      <c r="E73" s="10" t="s">
        <v>25</v>
      </c>
      <c r="F73" s="10" t="s">
        <v>57</v>
      </c>
    </row>
    <row r="74" customFormat="false" ht="15" hidden="false" customHeight="false" outlineLevel="0" collapsed="false">
      <c r="A74" s="10" t="n">
        <v>43</v>
      </c>
      <c r="B74" s="10" t="s">
        <v>48</v>
      </c>
      <c r="C74" s="10" t="n">
        <v>149</v>
      </c>
      <c r="D74" s="10" t="s">
        <v>41</v>
      </c>
      <c r="E74" s="10" t="s">
        <v>33</v>
      </c>
      <c r="F74" s="10" t="s">
        <v>34</v>
      </c>
    </row>
    <row r="75" customFormat="false" ht="15" hidden="false" customHeight="false" outlineLevel="0" collapsed="false">
      <c r="A75" s="10" t="n">
        <v>11</v>
      </c>
      <c r="B75" s="10" t="s">
        <v>44</v>
      </c>
      <c r="C75" s="10" t="s">
        <v>65</v>
      </c>
      <c r="D75" s="10" t="n">
        <v>8.5</v>
      </c>
      <c r="E75" s="10" t="s">
        <v>25</v>
      </c>
      <c r="F75" s="10" t="s">
        <v>57</v>
      </c>
    </row>
    <row r="76" customFormat="false" ht="15" hidden="false" customHeight="false" outlineLevel="0" collapsed="false">
      <c r="A76" s="10" t="n">
        <v>70</v>
      </c>
      <c r="B76" s="10" t="s">
        <v>24</v>
      </c>
      <c r="C76" s="10" t="n">
        <v>164</v>
      </c>
      <c r="D76" s="10" t="n">
        <v>7.5</v>
      </c>
      <c r="E76" s="10" t="s">
        <v>25</v>
      </c>
      <c r="F76" s="10" t="s">
        <v>26</v>
      </c>
    </row>
    <row r="77" customFormat="false" ht="15" hidden="false" customHeight="false" outlineLevel="0" collapsed="false">
      <c r="A77" s="10" t="n">
        <v>9</v>
      </c>
      <c r="B77" s="10" t="s">
        <v>24</v>
      </c>
      <c r="C77" s="10" t="n">
        <v>170</v>
      </c>
      <c r="D77" s="10" t="n">
        <v>6</v>
      </c>
      <c r="E77" s="10" t="s">
        <v>25</v>
      </c>
      <c r="F77" s="10" t="s">
        <v>57</v>
      </c>
    </row>
    <row r="78" customFormat="false" ht="15" hidden="false" customHeight="false" outlineLevel="0" collapsed="false">
      <c r="A78" s="10" t="n">
        <v>7</v>
      </c>
      <c r="B78" s="10" t="s">
        <v>24</v>
      </c>
      <c r="C78" s="10" t="n">
        <v>166</v>
      </c>
      <c r="D78" s="10" t="n">
        <v>8.5</v>
      </c>
      <c r="E78" s="10" t="s">
        <v>49</v>
      </c>
      <c r="F78" s="10" t="s">
        <v>34</v>
      </c>
    </row>
    <row r="79" customFormat="false" ht="15" hidden="false" customHeight="false" outlineLevel="0" collapsed="false">
      <c r="A79" s="10" t="n">
        <v>84</v>
      </c>
      <c r="B79" s="10" t="s">
        <v>54</v>
      </c>
      <c r="C79" s="10" t="n">
        <v>153</v>
      </c>
      <c r="D79" s="10" t="n">
        <v>7</v>
      </c>
      <c r="E79" s="10" t="s">
        <v>42</v>
      </c>
      <c r="F79" s="10" t="s">
        <v>36</v>
      </c>
    </row>
    <row r="80" customFormat="false" ht="15" hidden="false" customHeight="false" outlineLevel="0" collapsed="false">
      <c r="A80" s="10" t="n">
        <v>59</v>
      </c>
      <c r="B80" s="10" t="s">
        <v>43</v>
      </c>
      <c r="C80" s="10" t="n">
        <v>145</v>
      </c>
      <c r="D80" s="10" t="n">
        <v>7</v>
      </c>
      <c r="E80" s="10" t="s">
        <v>25</v>
      </c>
      <c r="F80" s="10" t="s">
        <v>29</v>
      </c>
    </row>
    <row r="81" customFormat="false" ht="15" hidden="false" customHeight="false" outlineLevel="0" collapsed="false">
      <c r="A81" s="10" t="n">
        <v>58</v>
      </c>
      <c r="B81" s="10" t="s">
        <v>52</v>
      </c>
      <c r="C81" s="10" t="n">
        <v>154</v>
      </c>
      <c r="D81" s="10" t="n">
        <v>6</v>
      </c>
      <c r="E81" s="10" t="s">
        <v>28</v>
      </c>
      <c r="F81" s="10" t="s">
        <v>34</v>
      </c>
    </row>
    <row r="82" customFormat="false" ht="15" hidden="false" customHeight="false" outlineLevel="0" collapsed="false">
      <c r="A82" s="10" t="n">
        <v>26</v>
      </c>
      <c r="B82" s="10" t="s">
        <v>56</v>
      </c>
      <c r="C82" s="10" t="n">
        <v>167</v>
      </c>
      <c r="D82" s="10" t="n">
        <v>6.5</v>
      </c>
      <c r="E82" s="10" t="s">
        <v>49</v>
      </c>
      <c r="F82" s="10" t="s">
        <v>36</v>
      </c>
    </row>
    <row r="83" customFormat="false" ht="15" hidden="false" customHeight="false" outlineLevel="0" collapsed="false">
      <c r="A83" s="10" t="n">
        <v>60</v>
      </c>
      <c r="B83" s="10" t="s">
        <v>35</v>
      </c>
      <c r="C83" s="10" t="n">
        <v>162</v>
      </c>
      <c r="D83" s="10" t="n">
        <v>4.5</v>
      </c>
      <c r="E83" s="10" t="s">
        <v>25</v>
      </c>
      <c r="F83" s="10" t="s">
        <v>36</v>
      </c>
    </row>
    <row r="84" customFormat="false" ht="15" hidden="false" customHeight="false" outlineLevel="0" collapsed="false">
      <c r="A84" s="10" t="n">
        <v>31</v>
      </c>
      <c r="B84" s="10" t="s">
        <v>48</v>
      </c>
      <c r="C84" s="10" t="n">
        <v>180</v>
      </c>
      <c r="D84" s="10" t="n">
        <v>8</v>
      </c>
      <c r="E84" s="10" t="s">
        <v>53</v>
      </c>
      <c r="F84" s="10" t="s">
        <v>36</v>
      </c>
    </row>
    <row r="85" customFormat="false" ht="15" hidden="false" customHeight="false" outlineLevel="0" collapsed="false">
      <c r="A85" s="10" t="n">
        <v>66</v>
      </c>
      <c r="B85" s="10" t="s">
        <v>37</v>
      </c>
      <c r="C85" s="10" t="n">
        <v>170</v>
      </c>
      <c r="D85" s="10" t="n">
        <v>6.5</v>
      </c>
      <c r="E85" s="10" t="s">
        <v>42</v>
      </c>
      <c r="F85" s="10" t="s">
        <v>29</v>
      </c>
    </row>
    <row r="86" customFormat="false" ht="15" hidden="false" customHeight="false" outlineLevel="0" collapsed="false">
      <c r="A86" s="10" t="n">
        <v>32</v>
      </c>
      <c r="B86" s="10" t="s">
        <v>27</v>
      </c>
      <c r="C86" s="10" t="n">
        <v>167</v>
      </c>
      <c r="D86" s="10" t="n">
        <v>8.5</v>
      </c>
      <c r="E86" s="10" t="s">
        <v>49</v>
      </c>
      <c r="F86" s="10" t="s">
        <v>45</v>
      </c>
    </row>
    <row r="87" customFormat="false" ht="15" hidden="false" customHeight="false" outlineLevel="0" collapsed="false">
      <c r="A87" s="10" t="n">
        <v>40</v>
      </c>
      <c r="B87" s="10" t="s">
        <v>56</v>
      </c>
      <c r="C87" s="10" t="n">
        <v>1.64</v>
      </c>
      <c r="D87" s="10" t="n">
        <v>5.5</v>
      </c>
      <c r="E87" s="10" t="s">
        <v>42</v>
      </c>
      <c r="F87" s="10" t="s">
        <v>29</v>
      </c>
    </row>
    <row r="88" customFormat="false" ht="15" hidden="false" customHeight="false" outlineLevel="0" collapsed="false">
      <c r="A88" s="10" t="n">
        <v>92</v>
      </c>
      <c r="B88" s="10" t="s">
        <v>43</v>
      </c>
      <c r="C88" s="10" t="n">
        <v>170</v>
      </c>
      <c r="D88" s="10" t="n">
        <v>8.5</v>
      </c>
      <c r="E88" s="10" t="s">
        <v>50</v>
      </c>
      <c r="F88" s="10" t="s">
        <v>39</v>
      </c>
    </row>
    <row r="89" customFormat="false" ht="15" hidden="false" customHeight="false" outlineLevel="0" collapsed="false">
      <c r="A89" s="10" t="n">
        <v>53</v>
      </c>
      <c r="B89" s="10" t="s">
        <v>35</v>
      </c>
      <c r="C89" s="10" t="n">
        <v>163</v>
      </c>
      <c r="D89" s="10" t="n">
        <v>7</v>
      </c>
      <c r="E89" s="10" t="s">
        <v>28</v>
      </c>
      <c r="F89" s="10" t="s">
        <v>51</v>
      </c>
    </row>
    <row r="90" customFormat="false" ht="15" hidden="false" customHeight="false" outlineLevel="0" collapsed="false">
      <c r="A90" s="10" t="n">
        <v>78</v>
      </c>
      <c r="B90" s="10" t="s">
        <v>58</v>
      </c>
      <c r="C90" s="10" t="n">
        <v>162</v>
      </c>
      <c r="D90" s="10" t="n">
        <v>8</v>
      </c>
      <c r="E90" s="10" t="s">
        <v>49</v>
      </c>
      <c r="F90" s="10" t="s">
        <v>57</v>
      </c>
    </row>
    <row r="91" customFormat="false" ht="15" hidden="false" customHeight="false" outlineLevel="0" collapsed="false">
      <c r="A91" s="10" t="n">
        <v>33</v>
      </c>
      <c r="B91" s="10" t="s">
        <v>40</v>
      </c>
      <c r="C91" s="10" t="n">
        <v>170</v>
      </c>
      <c r="D91" s="10" t="n">
        <v>6.5</v>
      </c>
      <c r="E91" s="10" t="s">
        <v>53</v>
      </c>
      <c r="F91" s="10" t="s">
        <v>36</v>
      </c>
    </row>
    <row r="92" customFormat="false" ht="15" hidden="false" customHeight="false" outlineLevel="0" collapsed="false">
      <c r="A92" s="10" t="n">
        <v>60</v>
      </c>
      <c r="B92" s="10" t="s">
        <v>35</v>
      </c>
      <c r="C92" s="10" t="n">
        <v>162</v>
      </c>
      <c r="D92" s="10" t="n">
        <v>4.5</v>
      </c>
      <c r="E92" s="10" t="s">
        <v>25</v>
      </c>
      <c r="F92" s="10" t="s">
        <v>36</v>
      </c>
    </row>
    <row r="93" customFormat="false" ht="15" hidden="false" customHeight="false" outlineLevel="0" collapsed="false">
      <c r="A93" s="10" t="n">
        <v>4</v>
      </c>
      <c r="B93" s="10" t="s">
        <v>46</v>
      </c>
      <c r="C93" s="10" t="n">
        <v>174</v>
      </c>
      <c r="D93" s="10" t="n">
        <v>7</v>
      </c>
      <c r="E93" s="10" t="s">
        <v>25</v>
      </c>
      <c r="F93" s="10" t="s">
        <v>55</v>
      </c>
    </row>
    <row r="94" customFormat="false" ht="15" hidden="false" customHeight="false" outlineLevel="0" collapsed="false">
      <c r="A94" s="10" t="n">
        <v>54</v>
      </c>
      <c r="B94" s="10" t="s">
        <v>38</v>
      </c>
      <c r="C94" s="10" t="s">
        <v>66</v>
      </c>
      <c r="D94" s="10" t="n">
        <v>8</v>
      </c>
      <c r="E94" s="10" t="s">
        <v>28</v>
      </c>
      <c r="F94" s="10" t="s">
        <v>34</v>
      </c>
    </row>
    <row r="95" customFormat="false" ht="15" hidden="false" customHeight="false" outlineLevel="0" collapsed="false">
      <c r="A95" s="10" t="n">
        <v>76</v>
      </c>
      <c r="B95" s="10" t="s">
        <v>30</v>
      </c>
      <c r="C95" s="10" t="n">
        <v>165</v>
      </c>
      <c r="D95" s="10" t="n">
        <v>6</v>
      </c>
      <c r="E95" s="10" t="s">
        <v>25</v>
      </c>
      <c r="F95" s="10" t="s">
        <v>34</v>
      </c>
    </row>
    <row r="96" customFormat="false" ht="15" hidden="false" customHeight="false" outlineLevel="0" collapsed="false">
      <c r="A96" s="10" t="n">
        <v>79</v>
      </c>
      <c r="B96" s="10" t="s">
        <v>46</v>
      </c>
      <c r="C96" s="10" t="n">
        <v>1.54</v>
      </c>
      <c r="D96" s="10" t="n">
        <v>7.5</v>
      </c>
      <c r="E96" s="10" t="s">
        <v>49</v>
      </c>
      <c r="F96" s="10" t="s">
        <v>57</v>
      </c>
    </row>
    <row r="97" customFormat="false" ht="15" hidden="false" customHeight="false" outlineLevel="0" collapsed="false">
      <c r="A97" s="10" t="n">
        <v>91</v>
      </c>
      <c r="B97" s="10" t="s">
        <v>63</v>
      </c>
      <c r="C97" s="10" t="n">
        <v>180</v>
      </c>
      <c r="D97" s="10" t="n">
        <v>6.5</v>
      </c>
      <c r="E97" s="10" t="s">
        <v>25</v>
      </c>
      <c r="F97" s="10" t="s">
        <v>51</v>
      </c>
    </row>
    <row r="98" customFormat="false" ht="15" hidden="false" customHeight="false" outlineLevel="0" collapsed="false">
      <c r="A98" s="10" t="n">
        <v>44</v>
      </c>
      <c r="B98" s="10" t="s">
        <v>48</v>
      </c>
      <c r="C98" s="10" t="n">
        <v>180</v>
      </c>
      <c r="D98" s="10" t="n">
        <v>7.5</v>
      </c>
      <c r="E98" s="10" t="s">
        <v>28</v>
      </c>
      <c r="F98" s="10" t="s">
        <v>32</v>
      </c>
    </row>
    <row r="99" customFormat="false" ht="15" hidden="false" customHeight="false" outlineLevel="0" collapsed="false">
      <c r="A99" s="10" t="n">
        <v>50</v>
      </c>
      <c r="B99" s="10" t="s">
        <v>38</v>
      </c>
      <c r="C99" s="10" t="n">
        <v>1.68</v>
      </c>
      <c r="D99" s="10" t="n">
        <v>6.5</v>
      </c>
      <c r="E99" s="10" t="s">
        <v>53</v>
      </c>
      <c r="F99" s="10" t="s">
        <v>36</v>
      </c>
    </row>
    <row r="100" customFormat="false" ht="15" hidden="false" customHeight="false" outlineLevel="0" collapsed="false">
      <c r="A100" s="10" t="n">
        <v>6</v>
      </c>
      <c r="B100" s="10" t="s">
        <v>40</v>
      </c>
      <c r="C100" s="10" t="n">
        <v>167</v>
      </c>
      <c r="D100" s="10" t="n">
        <v>8</v>
      </c>
      <c r="E100" s="10" t="s">
        <v>28</v>
      </c>
      <c r="F100" s="10" t="s">
        <v>36</v>
      </c>
    </row>
    <row r="101" customFormat="false" ht="15" hidden="false" customHeight="false" outlineLevel="0" collapsed="false">
      <c r="A101" s="10" t="n">
        <v>69</v>
      </c>
      <c r="B101" s="10" t="s">
        <v>56</v>
      </c>
      <c r="C101" s="10" t="s">
        <v>67</v>
      </c>
      <c r="D101" s="10" t="n">
        <v>6</v>
      </c>
      <c r="E101" s="10" t="s">
        <v>28</v>
      </c>
      <c r="F101" s="10" t="s">
        <v>32</v>
      </c>
    </row>
    <row r="102" customFormat="false" ht="15" hidden="false" customHeight="false" outlineLevel="0" collapsed="false">
      <c r="A102" s="10" t="n">
        <v>49</v>
      </c>
      <c r="B102" s="10" t="s">
        <v>46</v>
      </c>
      <c r="C102" s="10" t="n">
        <v>1.76</v>
      </c>
      <c r="D102" s="10" t="n">
        <v>8.5</v>
      </c>
      <c r="E102" s="10" t="s">
        <v>53</v>
      </c>
      <c r="F102" s="10" t="s">
        <v>36</v>
      </c>
    </row>
    <row r="103" customFormat="false" ht="15" hidden="false" customHeight="false" outlineLevel="0" collapsed="false">
      <c r="A103" s="10" t="n">
        <v>34</v>
      </c>
      <c r="B103" s="10" t="s">
        <v>58</v>
      </c>
      <c r="C103" s="10" t="n">
        <v>1.65</v>
      </c>
      <c r="D103" s="10" t="n">
        <v>7.5</v>
      </c>
      <c r="E103" s="10" t="s">
        <v>53</v>
      </c>
      <c r="F103" s="10" t="s">
        <v>29</v>
      </c>
    </row>
    <row r="104" customFormat="false" ht="15" hidden="false" customHeight="false" outlineLevel="0" collapsed="false">
      <c r="A104" s="10" t="n">
        <v>66</v>
      </c>
      <c r="B104" s="10" t="s">
        <v>37</v>
      </c>
      <c r="C104" s="10" t="n">
        <v>170</v>
      </c>
      <c r="D104" s="10" t="n">
        <v>6.5</v>
      </c>
      <c r="E104" s="10" t="s">
        <v>42</v>
      </c>
      <c r="F104" s="10" t="s">
        <v>29</v>
      </c>
    </row>
    <row r="105" customFormat="false" ht="15" hidden="false" customHeight="false" outlineLevel="0" collapsed="false">
      <c r="A105" s="10" t="n">
        <v>23</v>
      </c>
      <c r="B105" s="10" t="s">
        <v>46</v>
      </c>
      <c r="C105" s="10" t="n">
        <v>165</v>
      </c>
      <c r="D105" s="10" t="n">
        <v>5</v>
      </c>
      <c r="E105" s="10" t="s">
        <v>50</v>
      </c>
      <c r="F105" s="10" t="s">
        <v>39</v>
      </c>
    </row>
    <row r="106" customFormat="false" ht="15" hidden="false" customHeight="false" outlineLevel="0" collapsed="false">
      <c r="A106" s="10" t="n">
        <v>81</v>
      </c>
      <c r="B106" s="10" t="s">
        <v>43</v>
      </c>
      <c r="C106" s="10" t="n">
        <v>1.66</v>
      </c>
      <c r="D106" s="10" t="n">
        <v>7.5</v>
      </c>
      <c r="E106" s="10" t="s">
        <v>53</v>
      </c>
      <c r="F106" s="10" t="s">
        <v>55</v>
      </c>
    </row>
    <row r="107" customFormat="false" ht="15" hidden="false" customHeight="false" outlineLevel="0" collapsed="false">
      <c r="A107" s="10" t="n">
        <v>56</v>
      </c>
      <c r="B107" s="10" t="s">
        <v>35</v>
      </c>
      <c r="C107" s="10" t="n">
        <v>154</v>
      </c>
      <c r="D107" s="10" t="n">
        <v>7</v>
      </c>
      <c r="E107" s="10" t="s">
        <v>53</v>
      </c>
      <c r="F107" s="10" t="s">
        <v>51</v>
      </c>
    </row>
    <row r="108" customFormat="false" ht="15" hidden="false" customHeight="false" outlineLevel="0" collapsed="false">
      <c r="A108" s="10" t="n">
        <v>97</v>
      </c>
      <c r="B108" s="10" t="s">
        <v>44</v>
      </c>
      <c r="C108" s="10" t="n">
        <v>164</v>
      </c>
      <c r="D108" s="10" t="n">
        <v>6.5</v>
      </c>
      <c r="E108" s="10" t="s">
        <v>25</v>
      </c>
      <c r="F108" s="10" t="s">
        <v>36</v>
      </c>
    </row>
    <row r="109" customFormat="false" ht="15" hidden="false" customHeight="false" outlineLevel="0" collapsed="false">
      <c r="A109" s="10" t="n">
        <v>69</v>
      </c>
      <c r="B109" s="10" t="s">
        <v>56</v>
      </c>
      <c r="C109" s="10" t="s">
        <v>67</v>
      </c>
      <c r="D109" s="10" t="n">
        <v>6</v>
      </c>
      <c r="E109" s="10" t="s">
        <v>28</v>
      </c>
      <c r="F109" s="1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8"/>
  </cols>
  <sheetData>
    <row r="1" customFormat="false" ht="36" hidden="false" customHeight="true" outlineLevel="0" collapsed="false">
      <c r="A1" s="8" t="s">
        <v>17</v>
      </c>
      <c r="B1" s="8" t="s">
        <v>18</v>
      </c>
      <c r="C1" s="8" t="s">
        <v>68</v>
      </c>
      <c r="D1" s="8" t="s">
        <v>20</v>
      </c>
      <c r="E1" s="8" t="s">
        <v>21</v>
      </c>
      <c r="F1" s="8" t="s">
        <v>22</v>
      </c>
      <c r="H1" s="9" t="s">
        <v>69</v>
      </c>
    </row>
    <row r="2" customFormat="false" ht="15" hidden="false" customHeight="false" outlineLevel="0" collapsed="false">
      <c r="A2" s="10" t="n">
        <v>1</v>
      </c>
      <c r="B2" s="10" t="n">
        <v>9</v>
      </c>
      <c r="C2" s="10" t="n">
        <v>168</v>
      </c>
      <c r="D2" s="11" t="n">
        <v>8</v>
      </c>
      <c r="E2" s="10" t="s">
        <v>25</v>
      </c>
      <c r="F2" s="10" t="s">
        <v>29</v>
      </c>
    </row>
    <row r="3" customFormat="false" ht="15" hidden="false" customHeight="false" outlineLevel="0" collapsed="false">
      <c r="A3" s="10" t="n">
        <v>2</v>
      </c>
      <c r="B3" s="10" t="n">
        <v>12</v>
      </c>
      <c r="C3" s="10" t="n">
        <v>171</v>
      </c>
      <c r="D3" s="11" t="n">
        <v>7</v>
      </c>
      <c r="E3" s="10" t="s">
        <v>28</v>
      </c>
      <c r="F3" s="10" t="s">
        <v>34</v>
      </c>
    </row>
    <row r="4" customFormat="false" ht="15" hidden="false" customHeight="false" outlineLevel="0" collapsed="false">
      <c r="A4" s="10" t="n">
        <v>3</v>
      </c>
      <c r="B4" s="10" t="n">
        <v>11</v>
      </c>
      <c r="C4" s="10" t="n">
        <v>174</v>
      </c>
      <c r="D4" s="11" t="n">
        <v>7</v>
      </c>
      <c r="E4" s="10" t="s">
        <v>25</v>
      </c>
      <c r="F4" s="10" t="s">
        <v>29</v>
      </c>
    </row>
    <row r="5" customFormat="false" ht="15" hidden="false" customHeight="false" outlineLevel="0" collapsed="false">
      <c r="A5" s="10" t="n">
        <v>4</v>
      </c>
      <c r="B5" s="10" t="n">
        <v>11</v>
      </c>
      <c r="C5" s="10" t="n">
        <v>174</v>
      </c>
      <c r="D5" s="11" t="n">
        <v>7</v>
      </c>
      <c r="E5" s="10" t="s">
        <v>25</v>
      </c>
      <c r="F5" s="10" t="s">
        <v>34</v>
      </c>
    </row>
    <row r="6" customFormat="false" ht="15" hidden="false" customHeight="false" outlineLevel="0" collapsed="false">
      <c r="A6" s="10" t="n">
        <v>5</v>
      </c>
      <c r="B6" s="10" t="n">
        <v>12</v>
      </c>
      <c r="C6" s="10" t="n">
        <v>184</v>
      </c>
      <c r="D6" s="11" t="n">
        <v>8.5</v>
      </c>
      <c r="E6" s="10" t="s">
        <v>25</v>
      </c>
      <c r="F6" s="10" t="s">
        <v>34</v>
      </c>
    </row>
    <row r="7" customFormat="false" ht="15" hidden="false" customHeight="false" outlineLevel="0" collapsed="false">
      <c r="A7" s="10" t="n">
        <v>6</v>
      </c>
      <c r="B7" s="10" t="n">
        <v>9</v>
      </c>
      <c r="C7" s="10" t="n">
        <v>167</v>
      </c>
      <c r="D7" s="11" t="n">
        <v>8</v>
      </c>
      <c r="E7" s="10" t="s">
        <v>28</v>
      </c>
      <c r="F7" s="10" t="s">
        <v>36</v>
      </c>
    </row>
    <row r="8" customFormat="false" ht="15" hidden="false" customHeight="false" outlineLevel="0" collapsed="false">
      <c r="A8" s="10" t="n">
        <v>7</v>
      </c>
      <c r="B8" s="10" t="n">
        <v>12</v>
      </c>
      <c r="C8" s="10" t="n">
        <v>166</v>
      </c>
      <c r="D8" s="11" t="n">
        <v>8.5</v>
      </c>
      <c r="E8" s="10" t="s">
        <v>25</v>
      </c>
      <c r="F8" s="10" t="s">
        <v>34</v>
      </c>
    </row>
    <row r="9" customFormat="false" ht="15" hidden="false" customHeight="false" outlineLevel="0" collapsed="false">
      <c r="A9" s="10" t="n">
        <v>8</v>
      </c>
      <c r="B9" s="10" t="n">
        <v>10</v>
      </c>
      <c r="C9" s="10" t="n">
        <v>159</v>
      </c>
      <c r="D9" s="11" t="n">
        <v>7</v>
      </c>
      <c r="E9" s="10" t="s">
        <v>25</v>
      </c>
      <c r="F9" s="10" t="s">
        <v>39</v>
      </c>
    </row>
    <row r="10" customFormat="false" ht="15" hidden="false" customHeight="false" outlineLevel="0" collapsed="false">
      <c r="A10" s="10" t="n">
        <v>9</v>
      </c>
      <c r="B10" s="10" t="n">
        <v>12</v>
      </c>
      <c r="C10" s="10" t="n">
        <v>170</v>
      </c>
      <c r="D10" s="11" t="n">
        <v>6</v>
      </c>
      <c r="E10" s="10" t="s">
        <v>25</v>
      </c>
      <c r="F10" s="10" t="s">
        <v>34</v>
      </c>
    </row>
    <row r="11" customFormat="false" ht="15" hidden="false" customHeight="false" outlineLevel="0" collapsed="false">
      <c r="A11" s="10" t="n">
        <v>10</v>
      </c>
      <c r="B11" s="10" t="n">
        <v>10</v>
      </c>
      <c r="C11" s="10" t="n">
        <v>170</v>
      </c>
      <c r="D11" s="11" t="n">
        <v>7</v>
      </c>
      <c r="E11" s="10" t="s">
        <v>28</v>
      </c>
      <c r="F11" s="10" t="s">
        <v>36</v>
      </c>
    </row>
    <row r="12" customFormat="false" ht="15" hidden="false" customHeight="false" outlineLevel="0" collapsed="false">
      <c r="A12" s="10" t="n">
        <v>11</v>
      </c>
      <c r="B12" s="10" t="n">
        <v>10</v>
      </c>
      <c r="C12" s="10" t="n">
        <v>161</v>
      </c>
      <c r="D12" s="11" t="n">
        <v>8.5</v>
      </c>
      <c r="E12" s="10" t="s">
        <v>25</v>
      </c>
      <c r="F12" s="10" t="s">
        <v>34</v>
      </c>
    </row>
    <row r="13" customFormat="false" ht="15" hidden="false" customHeight="false" outlineLevel="0" collapsed="false">
      <c r="A13" s="10" t="n">
        <v>12</v>
      </c>
      <c r="B13" s="10" t="n">
        <v>10</v>
      </c>
      <c r="C13" s="10" t="n">
        <v>168</v>
      </c>
      <c r="D13" s="11" t="n">
        <v>8.5</v>
      </c>
      <c r="E13" s="10" t="s">
        <v>28</v>
      </c>
      <c r="F13" s="10" t="s">
        <v>34</v>
      </c>
    </row>
    <row r="14" customFormat="false" ht="15" hidden="false" customHeight="false" outlineLevel="0" collapsed="false">
      <c r="A14" s="10" t="n">
        <v>13</v>
      </c>
      <c r="B14" s="10" t="n">
        <v>10</v>
      </c>
      <c r="C14" s="10" t="n">
        <v>168</v>
      </c>
      <c r="D14" s="11" t="n">
        <v>6.5</v>
      </c>
      <c r="E14" s="10" t="s">
        <v>25</v>
      </c>
      <c r="F14" s="10" t="s">
        <v>34</v>
      </c>
    </row>
    <row r="15" customFormat="false" ht="15" hidden="false" customHeight="false" outlineLevel="0" collapsed="false">
      <c r="A15" s="10" t="n">
        <v>14</v>
      </c>
      <c r="B15" s="10" t="n">
        <v>12</v>
      </c>
      <c r="C15" s="10" t="n">
        <v>195</v>
      </c>
      <c r="D15" s="11" t="n">
        <v>8.5</v>
      </c>
      <c r="E15" s="10" t="s">
        <v>25</v>
      </c>
      <c r="F15" s="10" t="s">
        <v>39</v>
      </c>
    </row>
    <row r="16" customFormat="false" ht="15" hidden="false" customHeight="false" outlineLevel="0" collapsed="false">
      <c r="A16" s="10" t="n">
        <v>15</v>
      </c>
      <c r="B16" s="10" t="n">
        <v>9</v>
      </c>
      <c r="C16" s="10" t="n">
        <v>163</v>
      </c>
      <c r="D16" s="11" t="n">
        <v>6</v>
      </c>
      <c r="E16" s="10" t="s">
        <v>25</v>
      </c>
      <c r="F16" s="10" t="s">
        <v>34</v>
      </c>
    </row>
    <row r="17" customFormat="false" ht="15" hidden="false" customHeight="false" outlineLevel="0" collapsed="false">
      <c r="A17" s="10" t="n">
        <v>16</v>
      </c>
      <c r="B17" s="10" t="n">
        <v>9</v>
      </c>
      <c r="C17" s="10" t="n">
        <v>179</v>
      </c>
      <c r="D17" s="11" t="n">
        <v>7</v>
      </c>
      <c r="E17" s="10" t="s">
        <v>28</v>
      </c>
      <c r="F17" s="10" t="s">
        <v>36</v>
      </c>
    </row>
    <row r="18" customFormat="false" ht="15" hidden="false" customHeight="false" outlineLevel="0" collapsed="false">
      <c r="A18" s="10" t="n">
        <v>17</v>
      </c>
      <c r="B18" s="10" t="n">
        <v>12</v>
      </c>
      <c r="C18" s="10" t="n">
        <v>172</v>
      </c>
      <c r="D18" s="11" t="n">
        <v>7.5</v>
      </c>
      <c r="E18" s="10" t="s">
        <v>28</v>
      </c>
      <c r="F18" s="10" t="s">
        <v>34</v>
      </c>
    </row>
    <row r="19" customFormat="false" ht="15" hidden="false" customHeight="false" outlineLevel="0" collapsed="false">
      <c r="A19" s="10" t="n">
        <v>18</v>
      </c>
      <c r="B19" s="10" t="n">
        <v>10</v>
      </c>
      <c r="C19" s="10" t="n">
        <v>167</v>
      </c>
      <c r="D19" s="11" t="n">
        <v>8.5</v>
      </c>
      <c r="E19" s="10" t="s">
        <v>25</v>
      </c>
      <c r="F19" s="10" t="s">
        <v>34</v>
      </c>
    </row>
    <row r="20" customFormat="false" ht="15" hidden="false" customHeight="false" outlineLevel="0" collapsed="false">
      <c r="A20" s="10" t="n">
        <v>19</v>
      </c>
      <c r="B20" s="10" t="n">
        <v>9</v>
      </c>
      <c r="C20" s="10" t="n">
        <v>172</v>
      </c>
      <c r="D20" s="11" t="n">
        <v>5.5</v>
      </c>
      <c r="E20" s="10" t="s">
        <v>25</v>
      </c>
      <c r="F20" s="10" t="s">
        <v>39</v>
      </c>
    </row>
    <row r="21" customFormat="false" ht="15" hidden="false" customHeight="false" outlineLevel="0" collapsed="false">
      <c r="A21" s="10" t="n">
        <v>20</v>
      </c>
      <c r="B21" s="10" t="n">
        <v>12</v>
      </c>
      <c r="C21" s="10" t="n">
        <v>171</v>
      </c>
      <c r="D21" s="11" t="n">
        <v>5.5</v>
      </c>
      <c r="E21" s="10" t="s">
        <v>25</v>
      </c>
      <c r="F21" s="10" t="s">
        <v>36</v>
      </c>
    </row>
    <row r="22" customFormat="false" ht="15" hidden="false" customHeight="false" outlineLevel="0" collapsed="false">
      <c r="A22" s="10" t="n">
        <v>21</v>
      </c>
      <c r="B22" s="10" t="n">
        <v>11</v>
      </c>
      <c r="C22" s="10" t="n">
        <v>168</v>
      </c>
      <c r="D22" s="11" t="n">
        <v>5</v>
      </c>
      <c r="E22" s="10" t="s">
        <v>25</v>
      </c>
      <c r="F22" s="10" t="s">
        <v>34</v>
      </c>
    </row>
    <row r="23" customFormat="false" ht="15" hidden="false" customHeight="false" outlineLevel="0" collapsed="false">
      <c r="A23" s="10" t="n">
        <v>22</v>
      </c>
      <c r="B23" s="10" t="n">
        <v>12</v>
      </c>
      <c r="C23" s="10" t="n">
        <v>166</v>
      </c>
      <c r="D23" s="11" t="n">
        <v>6</v>
      </c>
      <c r="E23" s="10" t="s">
        <v>25</v>
      </c>
      <c r="F23" s="10" t="s">
        <v>34</v>
      </c>
    </row>
    <row r="24" customFormat="false" ht="15" hidden="false" customHeight="false" outlineLevel="0" collapsed="false">
      <c r="A24" s="10" t="n">
        <v>23</v>
      </c>
      <c r="B24" s="10" t="n">
        <v>11</v>
      </c>
      <c r="C24" s="10" t="n">
        <v>165</v>
      </c>
      <c r="D24" s="11" t="n">
        <v>5</v>
      </c>
      <c r="E24" s="10" t="s">
        <v>28</v>
      </c>
      <c r="F24" s="10" t="s">
        <v>39</v>
      </c>
    </row>
    <row r="25" customFormat="false" ht="15" hidden="false" customHeight="false" outlineLevel="0" collapsed="false">
      <c r="A25" s="10" t="n">
        <v>24</v>
      </c>
      <c r="B25" s="10" t="n">
        <v>11</v>
      </c>
      <c r="C25" s="10"/>
      <c r="D25" s="11" t="n">
        <v>7.5</v>
      </c>
      <c r="E25" s="10" t="s">
        <v>28</v>
      </c>
      <c r="F25" s="10" t="s">
        <v>34</v>
      </c>
    </row>
    <row r="26" customFormat="false" ht="15" hidden="false" customHeight="false" outlineLevel="0" collapsed="false">
      <c r="A26" s="10" t="n">
        <v>25</v>
      </c>
      <c r="B26" s="10" t="n">
        <v>12</v>
      </c>
      <c r="C26" s="10" t="n">
        <v>171</v>
      </c>
      <c r="D26" s="11" t="n">
        <v>6</v>
      </c>
      <c r="E26" s="10" t="s">
        <v>25</v>
      </c>
      <c r="F26" s="10" t="s">
        <v>29</v>
      </c>
    </row>
    <row r="27" customFormat="false" ht="15" hidden="false" customHeight="false" outlineLevel="0" collapsed="false">
      <c r="A27" s="10" t="n">
        <v>26</v>
      </c>
      <c r="B27" s="10" t="n">
        <v>9</v>
      </c>
      <c r="C27" s="10" t="n">
        <v>167</v>
      </c>
      <c r="D27" s="11" t="n">
        <v>6.5</v>
      </c>
      <c r="E27" s="10" t="s">
        <v>25</v>
      </c>
      <c r="F27" s="10" t="s">
        <v>36</v>
      </c>
    </row>
    <row r="28" customFormat="false" ht="15" hidden="false" customHeight="false" outlineLevel="0" collapsed="false">
      <c r="A28" s="10" t="n">
        <v>27</v>
      </c>
      <c r="B28" s="10" t="n">
        <v>12</v>
      </c>
      <c r="C28" s="10" t="n">
        <v>177</v>
      </c>
      <c r="D28" s="11" t="n">
        <v>9</v>
      </c>
      <c r="E28" s="10" t="s">
        <v>28</v>
      </c>
      <c r="F28" s="10" t="s">
        <v>36</v>
      </c>
    </row>
    <row r="29" customFormat="false" ht="15" hidden="false" customHeight="false" outlineLevel="0" collapsed="false">
      <c r="A29" s="10" t="n">
        <v>28</v>
      </c>
      <c r="B29" s="10" t="n">
        <v>10</v>
      </c>
      <c r="C29" s="10" t="n">
        <v>180</v>
      </c>
      <c r="D29" s="11" t="n">
        <v>7.5</v>
      </c>
      <c r="E29" s="10" t="s">
        <v>25</v>
      </c>
      <c r="F29" s="10" t="s">
        <v>34</v>
      </c>
    </row>
    <row r="30" customFormat="false" ht="15" hidden="false" customHeight="false" outlineLevel="0" collapsed="false">
      <c r="A30" s="10" t="n">
        <v>29</v>
      </c>
      <c r="B30" s="10" t="n">
        <v>11</v>
      </c>
      <c r="C30" s="10" t="n">
        <v>168</v>
      </c>
      <c r="D30" s="11" t="n">
        <v>6.5</v>
      </c>
      <c r="E30" s="10" t="s">
        <v>28</v>
      </c>
      <c r="F30" s="10" t="s">
        <v>36</v>
      </c>
    </row>
    <row r="31" customFormat="false" ht="15" hidden="false" customHeight="false" outlineLevel="0" collapsed="false">
      <c r="A31" s="10" t="n">
        <v>30</v>
      </c>
      <c r="B31" s="10" t="n">
        <v>12</v>
      </c>
      <c r="C31" s="10" t="n">
        <v>165</v>
      </c>
      <c r="D31" s="11" t="n">
        <v>7.5</v>
      </c>
      <c r="E31" s="10" t="s">
        <v>25</v>
      </c>
      <c r="F31" s="10" t="s">
        <v>34</v>
      </c>
    </row>
    <row r="32" customFormat="false" ht="15" hidden="false" customHeight="false" outlineLevel="0" collapsed="false">
      <c r="A32" s="10" t="n">
        <v>31</v>
      </c>
      <c r="B32" s="10" t="n">
        <v>10</v>
      </c>
      <c r="C32" s="10" t="n">
        <v>180</v>
      </c>
      <c r="D32" s="11" t="n">
        <v>8</v>
      </c>
      <c r="E32" s="10" t="s">
        <v>25</v>
      </c>
      <c r="F32" s="10" t="s">
        <v>36</v>
      </c>
    </row>
    <row r="33" customFormat="false" ht="15" hidden="false" customHeight="false" outlineLevel="0" collapsed="false">
      <c r="A33" s="10" t="n">
        <v>32</v>
      </c>
      <c r="B33" s="10" t="n">
        <v>12</v>
      </c>
      <c r="C33" s="10" t="n">
        <v>167</v>
      </c>
      <c r="D33" s="11" t="n">
        <v>8.5</v>
      </c>
      <c r="E33" s="10" t="s">
        <v>25</v>
      </c>
      <c r="F33" s="10" t="s">
        <v>36</v>
      </c>
    </row>
    <row r="34" customFormat="false" ht="15" hidden="false" customHeight="false" outlineLevel="0" collapsed="false">
      <c r="A34" s="10" t="n">
        <v>33</v>
      </c>
      <c r="B34" s="10" t="n">
        <v>9</v>
      </c>
      <c r="C34" s="10" t="n">
        <v>170</v>
      </c>
      <c r="D34" s="11" t="n">
        <v>6.5</v>
      </c>
      <c r="E34" s="10" t="s">
        <v>25</v>
      </c>
      <c r="F34" s="10" t="s">
        <v>36</v>
      </c>
    </row>
    <row r="35" customFormat="false" ht="15" hidden="false" customHeight="false" outlineLevel="0" collapsed="false">
      <c r="A35" s="10" t="n">
        <v>34</v>
      </c>
      <c r="B35" s="10" t="n">
        <v>11</v>
      </c>
      <c r="C35" s="10" t="n">
        <v>165</v>
      </c>
      <c r="D35" s="11" t="n">
        <v>7.5</v>
      </c>
      <c r="E35" s="10" t="s">
        <v>25</v>
      </c>
      <c r="F35" s="10" t="s">
        <v>29</v>
      </c>
    </row>
    <row r="36" customFormat="false" ht="15" hidden="false" customHeight="false" outlineLevel="0" collapsed="false">
      <c r="A36" s="10" t="n">
        <v>35</v>
      </c>
      <c r="B36" s="10" t="n">
        <v>9</v>
      </c>
      <c r="C36" s="10"/>
      <c r="D36" s="11" t="n">
        <v>7</v>
      </c>
      <c r="E36" s="10" t="s">
        <v>25</v>
      </c>
      <c r="F36" s="10" t="s">
        <v>36</v>
      </c>
    </row>
    <row r="37" customFormat="false" ht="15" hidden="false" customHeight="false" outlineLevel="0" collapsed="false">
      <c r="A37" s="10" t="n">
        <v>36</v>
      </c>
      <c r="B37" s="10" t="n">
        <v>9</v>
      </c>
      <c r="C37" s="10" t="n">
        <v>180</v>
      </c>
      <c r="D37" s="11" t="n">
        <v>7</v>
      </c>
      <c r="E37" s="10" t="s">
        <v>25</v>
      </c>
      <c r="F37" s="10" t="s">
        <v>39</v>
      </c>
    </row>
    <row r="38" customFormat="false" ht="15" hidden="false" customHeight="false" outlineLevel="0" collapsed="false">
      <c r="A38" s="10" t="n">
        <v>37</v>
      </c>
      <c r="B38" s="10" t="n">
        <v>9</v>
      </c>
      <c r="C38" s="10" t="n">
        <v>176</v>
      </c>
      <c r="D38" s="11" t="n">
        <v>6.5</v>
      </c>
      <c r="E38" s="10" t="s">
        <v>25</v>
      </c>
      <c r="F38" s="10" t="s">
        <v>29</v>
      </c>
    </row>
    <row r="39" customFormat="false" ht="15" hidden="false" customHeight="false" outlineLevel="0" collapsed="false">
      <c r="A39" s="10" t="n">
        <v>38</v>
      </c>
      <c r="B39" s="10" t="n">
        <v>12</v>
      </c>
      <c r="C39" s="10" t="n">
        <v>158</v>
      </c>
      <c r="D39" s="11" t="n">
        <v>8</v>
      </c>
      <c r="E39" s="10" t="s">
        <v>25</v>
      </c>
      <c r="F39" s="10" t="s">
        <v>34</v>
      </c>
    </row>
    <row r="40" customFormat="false" ht="15" hidden="false" customHeight="false" outlineLevel="0" collapsed="false">
      <c r="A40" s="10" t="n">
        <v>39</v>
      </c>
      <c r="B40" s="10" t="n">
        <v>9</v>
      </c>
      <c r="C40" s="10" t="n">
        <v>160</v>
      </c>
      <c r="D40" s="11" t="n">
        <v>8</v>
      </c>
      <c r="E40" s="10" t="s">
        <v>28</v>
      </c>
      <c r="F40" s="10" t="s">
        <v>36</v>
      </c>
    </row>
    <row r="41" customFormat="false" ht="15" hidden="false" customHeight="false" outlineLevel="0" collapsed="false">
      <c r="A41" s="10" t="n">
        <v>40</v>
      </c>
      <c r="B41" s="10" t="n">
        <v>9</v>
      </c>
      <c r="C41" s="10" t="n">
        <v>164</v>
      </c>
      <c r="D41" s="11" t="n">
        <v>5.5</v>
      </c>
      <c r="E41" s="10" t="s">
        <v>25</v>
      </c>
      <c r="F41" s="10" t="s">
        <v>29</v>
      </c>
    </row>
    <row r="42" customFormat="false" ht="15" hidden="false" customHeight="false" outlineLevel="0" collapsed="false">
      <c r="A42" s="10" t="n">
        <v>41</v>
      </c>
      <c r="B42" s="10" t="n">
        <v>10</v>
      </c>
      <c r="C42" s="10" t="n">
        <v>165</v>
      </c>
      <c r="D42" s="11" t="n">
        <v>6.5</v>
      </c>
      <c r="E42" s="10" t="s">
        <v>25</v>
      </c>
      <c r="F42" s="10" t="s">
        <v>34</v>
      </c>
    </row>
    <row r="43" customFormat="false" ht="15" hidden="false" customHeight="false" outlineLevel="0" collapsed="false">
      <c r="A43" s="10" t="n">
        <v>42</v>
      </c>
      <c r="B43" s="10" t="n">
        <v>10</v>
      </c>
      <c r="C43" s="10" t="n">
        <v>174</v>
      </c>
      <c r="D43" s="11" t="n">
        <v>7</v>
      </c>
      <c r="E43" s="10" t="s">
        <v>25</v>
      </c>
      <c r="F43" s="10" t="s">
        <v>34</v>
      </c>
    </row>
    <row r="44" customFormat="false" ht="15" hidden="false" customHeight="false" outlineLevel="0" collapsed="false">
      <c r="A44" s="10" t="n">
        <v>43</v>
      </c>
      <c r="B44" s="10" t="n">
        <v>10</v>
      </c>
      <c r="C44" s="10" t="n">
        <v>149</v>
      </c>
      <c r="D44" s="11" t="n">
        <v>8</v>
      </c>
      <c r="E44" s="10" t="s">
        <v>28</v>
      </c>
      <c r="F44" s="10" t="s">
        <v>34</v>
      </c>
    </row>
    <row r="45" customFormat="false" ht="15" hidden="false" customHeight="false" outlineLevel="0" collapsed="false">
      <c r="A45" s="10" t="n">
        <v>44</v>
      </c>
      <c r="B45" s="10" t="n">
        <v>10</v>
      </c>
      <c r="C45" s="10" t="n">
        <v>180</v>
      </c>
      <c r="D45" s="11" t="n">
        <v>7.5</v>
      </c>
      <c r="E45" s="10" t="s">
        <v>28</v>
      </c>
      <c r="F45" s="10" t="s">
        <v>34</v>
      </c>
    </row>
    <row r="46" customFormat="false" ht="15" hidden="false" customHeight="false" outlineLevel="0" collapsed="false">
      <c r="A46" s="10" t="n">
        <v>45</v>
      </c>
      <c r="B46" s="10" t="n">
        <v>10</v>
      </c>
      <c r="C46" s="10" t="n">
        <v>158</v>
      </c>
      <c r="D46" s="11" t="n">
        <v>8</v>
      </c>
      <c r="E46" s="10" t="s">
        <v>25</v>
      </c>
      <c r="F46" s="10" t="s">
        <v>34</v>
      </c>
    </row>
    <row r="47" customFormat="false" ht="15" hidden="false" customHeight="false" outlineLevel="0" collapsed="false">
      <c r="A47" s="10" t="n">
        <v>46</v>
      </c>
      <c r="B47" s="10" t="n">
        <v>10</v>
      </c>
      <c r="C47" s="10" t="n">
        <v>177</v>
      </c>
      <c r="D47" s="11" t="n">
        <v>7</v>
      </c>
      <c r="E47" s="10" t="s">
        <v>25</v>
      </c>
      <c r="F47" s="10" t="s">
        <v>36</v>
      </c>
    </row>
    <row r="48" customFormat="false" ht="15" hidden="false" customHeight="false" outlineLevel="0" collapsed="false">
      <c r="A48" s="10" t="n">
        <v>47</v>
      </c>
      <c r="B48" s="10" t="n">
        <v>11</v>
      </c>
      <c r="C48" s="10" t="n">
        <v>157</v>
      </c>
      <c r="D48" s="11" t="n">
        <v>6.5</v>
      </c>
      <c r="E48" s="10" t="s">
        <v>25</v>
      </c>
      <c r="F48" s="10" t="s">
        <v>34</v>
      </c>
    </row>
    <row r="49" customFormat="false" ht="15" hidden="false" customHeight="false" outlineLevel="0" collapsed="false">
      <c r="A49" s="10" t="n">
        <v>48</v>
      </c>
      <c r="B49" s="10" t="n">
        <v>9</v>
      </c>
      <c r="C49" s="10" t="n">
        <v>166</v>
      </c>
      <c r="D49" s="11" t="n">
        <v>7.5</v>
      </c>
      <c r="E49" s="10" t="s">
        <v>28</v>
      </c>
      <c r="F49" s="10" t="s">
        <v>29</v>
      </c>
    </row>
    <row r="50" customFormat="false" ht="15" hidden="false" customHeight="false" outlineLevel="0" collapsed="false">
      <c r="A50" s="10" t="n">
        <v>49</v>
      </c>
      <c r="B50" s="10" t="n">
        <v>11</v>
      </c>
      <c r="C50" s="10" t="n">
        <v>176</v>
      </c>
      <c r="D50" s="11" t="n">
        <v>8.5</v>
      </c>
      <c r="E50" s="10" t="s">
        <v>25</v>
      </c>
      <c r="F50" s="10" t="s">
        <v>36</v>
      </c>
    </row>
    <row r="51" customFormat="false" ht="15" hidden="false" customHeight="false" outlineLevel="0" collapsed="false">
      <c r="A51" s="10" t="n">
        <v>50</v>
      </c>
      <c r="B51" s="10" t="n">
        <v>9</v>
      </c>
      <c r="C51" s="10" t="n">
        <v>168</v>
      </c>
      <c r="D51" s="11" t="n">
        <v>6.5</v>
      </c>
      <c r="E51" s="10" t="s">
        <v>25</v>
      </c>
      <c r="F51" s="10" t="s">
        <v>36</v>
      </c>
    </row>
    <row r="52" customFormat="false" ht="15" hidden="false" customHeight="false" outlineLevel="0" collapsed="false">
      <c r="A52" s="10" t="n">
        <v>51</v>
      </c>
      <c r="B52" s="10" t="n">
        <v>11</v>
      </c>
      <c r="C52" s="10" t="n">
        <v>179</v>
      </c>
      <c r="D52" s="11" t="n">
        <v>7</v>
      </c>
      <c r="E52" s="10" t="s">
        <v>25</v>
      </c>
      <c r="F52" s="10" t="s">
        <v>39</v>
      </c>
    </row>
    <row r="53" customFormat="false" ht="15" hidden="false" customHeight="false" outlineLevel="0" collapsed="false">
      <c r="A53" s="10" t="n">
        <v>52</v>
      </c>
      <c r="B53" s="10" t="n">
        <v>12</v>
      </c>
      <c r="C53" s="10" t="n">
        <v>191</v>
      </c>
      <c r="D53" s="11" t="n">
        <v>6.5</v>
      </c>
      <c r="E53" s="10" t="s">
        <v>25</v>
      </c>
      <c r="F53" s="10" t="s">
        <v>29</v>
      </c>
    </row>
    <row r="54" customFormat="false" ht="15" hidden="false" customHeight="false" outlineLevel="0" collapsed="false">
      <c r="A54" s="10" t="n">
        <v>53</v>
      </c>
      <c r="B54" s="10" t="n">
        <v>10</v>
      </c>
      <c r="C54" s="10" t="n">
        <v>163</v>
      </c>
      <c r="D54" s="11" t="n">
        <v>7</v>
      </c>
      <c r="E54" s="10" t="s">
        <v>28</v>
      </c>
      <c r="F54" s="10" t="s">
        <v>29</v>
      </c>
    </row>
    <row r="55" customFormat="false" ht="15" hidden="false" customHeight="false" outlineLevel="0" collapsed="false">
      <c r="A55" s="10" t="n">
        <v>54</v>
      </c>
      <c r="B55" s="10" t="n">
        <v>9</v>
      </c>
      <c r="C55" s="10"/>
      <c r="D55" s="11" t="n">
        <v>8</v>
      </c>
      <c r="E55" s="10" t="s">
        <v>28</v>
      </c>
      <c r="F55" s="10" t="s">
        <v>34</v>
      </c>
    </row>
    <row r="56" customFormat="false" ht="15" hidden="false" customHeight="false" outlineLevel="0" collapsed="false">
      <c r="A56" s="10" t="n">
        <v>55</v>
      </c>
      <c r="B56" s="10" t="n">
        <v>12</v>
      </c>
      <c r="C56" s="10" t="n">
        <v>157</v>
      </c>
      <c r="D56" s="11" t="n">
        <v>7</v>
      </c>
      <c r="E56" s="10" t="s">
        <v>28</v>
      </c>
      <c r="F56" s="10" t="s">
        <v>29</v>
      </c>
    </row>
    <row r="57" customFormat="false" ht="15" hidden="false" customHeight="false" outlineLevel="0" collapsed="false">
      <c r="A57" s="10" t="n">
        <v>56</v>
      </c>
      <c r="B57" s="10" t="n">
        <v>10</v>
      </c>
      <c r="C57" s="10" t="n">
        <v>154</v>
      </c>
      <c r="D57" s="11" t="n">
        <v>7</v>
      </c>
      <c r="E57" s="10" t="s">
        <v>25</v>
      </c>
      <c r="F57" s="10" t="s">
        <v>29</v>
      </c>
    </row>
    <row r="58" customFormat="false" ht="15" hidden="false" customHeight="false" outlineLevel="0" collapsed="false">
      <c r="A58" s="10" t="n">
        <v>57</v>
      </c>
      <c r="B58" s="10" t="n">
        <v>10</v>
      </c>
      <c r="C58" s="10" t="n">
        <v>166</v>
      </c>
      <c r="D58" s="11" t="n">
        <v>7</v>
      </c>
      <c r="E58" s="10" t="s">
        <v>25</v>
      </c>
      <c r="F58" s="10" t="s">
        <v>34</v>
      </c>
    </row>
    <row r="59" customFormat="false" ht="15" hidden="false" customHeight="false" outlineLevel="0" collapsed="false">
      <c r="A59" s="10" t="n">
        <v>58</v>
      </c>
      <c r="B59" s="10" t="n">
        <v>9</v>
      </c>
      <c r="C59" s="10" t="n">
        <v>154</v>
      </c>
      <c r="D59" s="11" t="n">
        <v>6</v>
      </c>
      <c r="E59" s="10" t="s">
        <v>28</v>
      </c>
      <c r="F59" s="10" t="s">
        <v>34</v>
      </c>
    </row>
    <row r="60" customFormat="false" ht="15" hidden="false" customHeight="false" outlineLevel="0" collapsed="false">
      <c r="A60" s="10" t="n">
        <v>59</v>
      </c>
      <c r="B60" s="10" t="n">
        <v>12</v>
      </c>
      <c r="C60" s="10" t="n">
        <v>145</v>
      </c>
      <c r="D60" s="11" t="n">
        <v>7</v>
      </c>
      <c r="E60" s="10" t="s">
        <v>25</v>
      </c>
      <c r="F60" s="10" t="s">
        <v>29</v>
      </c>
    </row>
    <row r="61" customFormat="false" ht="15" hidden="false" customHeight="false" outlineLevel="0" collapsed="false">
      <c r="A61" s="10" t="n">
        <v>60</v>
      </c>
      <c r="B61" s="10" t="n">
        <v>10</v>
      </c>
      <c r="C61" s="10" t="n">
        <v>162</v>
      </c>
      <c r="D61" s="11" t="n">
        <v>4.5</v>
      </c>
      <c r="E61" s="10" t="s">
        <v>25</v>
      </c>
      <c r="F61" s="10" t="s">
        <v>36</v>
      </c>
    </row>
    <row r="62" customFormat="false" ht="15" hidden="false" customHeight="false" outlineLevel="0" collapsed="false">
      <c r="A62" s="10" t="n">
        <v>61</v>
      </c>
      <c r="B62" s="10" t="n">
        <v>11</v>
      </c>
      <c r="C62" s="10" t="n">
        <v>182</v>
      </c>
      <c r="D62" s="11" t="n">
        <v>7.5</v>
      </c>
      <c r="E62" s="10" t="s">
        <v>25</v>
      </c>
      <c r="F62" s="10" t="s">
        <v>34</v>
      </c>
    </row>
    <row r="63" customFormat="false" ht="15" hidden="false" customHeight="false" outlineLevel="0" collapsed="false">
      <c r="A63" s="10" t="n">
        <v>62</v>
      </c>
      <c r="B63" s="10" t="n">
        <v>9</v>
      </c>
      <c r="C63" s="10" t="n">
        <v>170</v>
      </c>
      <c r="D63" s="11" t="n">
        <v>6.5</v>
      </c>
      <c r="E63" s="10" t="s">
        <v>28</v>
      </c>
      <c r="F63" s="10" t="s">
        <v>29</v>
      </c>
    </row>
    <row r="64" customFormat="false" ht="15" hidden="false" customHeight="false" outlineLevel="0" collapsed="false">
      <c r="A64" s="10" t="n">
        <v>63</v>
      </c>
      <c r="B64" s="10" t="n">
        <v>10</v>
      </c>
      <c r="C64" s="10" t="n">
        <v>156</v>
      </c>
      <c r="D64" s="11" t="n">
        <v>7.5</v>
      </c>
      <c r="E64" s="10" t="s">
        <v>28</v>
      </c>
      <c r="F64" s="10" t="s">
        <v>34</v>
      </c>
    </row>
    <row r="65" customFormat="false" ht="15" hidden="false" customHeight="false" outlineLevel="0" collapsed="false">
      <c r="A65" s="10" t="n">
        <v>64</v>
      </c>
      <c r="B65" s="10" t="n">
        <v>9</v>
      </c>
      <c r="C65" s="10" t="n">
        <v>160</v>
      </c>
      <c r="D65" s="11" t="n">
        <v>7</v>
      </c>
      <c r="E65" s="10" t="s">
        <v>25</v>
      </c>
      <c r="F65" s="10" t="s">
        <v>34</v>
      </c>
    </row>
    <row r="66" customFormat="false" ht="15" hidden="false" customHeight="false" outlineLevel="0" collapsed="false">
      <c r="A66" s="10" t="n">
        <v>65</v>
      </c>
      <c r="B66" s="10" t="n">
        <v>11</v>
      </c>
      <c r="C66" s="10" t="n">
        <v>175</v>
      </c>
      <c r="D66" s="11" t="n">
        <v>7</v>
      </c>
      <c r="E66" s="10" t="s">
        <v>28</v>
      </c>
      <c r="F66" s="10" t="s">
        <v>36</v>
      </c>
    </row>
    <row r="67" customFormat="false" ht="15" hidden="false" customHeight="false" outlineLevel="0" collapsed="false">
      <c r="A67" s="10" t="n">
        <v>66</v>
      </c>
      <c r="B67" s="10" t="n">
        <v>12</v>
      </c>
      <c r="C67" s="10" t="n">
        <v>170</v>
      </c>
      <c r="D67" s="11" t="n">
        <v>6.5</v>
      </c>
      <c r="E67" s="10" t="s">
        <v>25</v>
      </c>
      <c r="F67" s="10" t="s">
        <v>29</v>
      </c>
    </row>
    <row r="68" customFormat="false" ht="15" hidden="false" customHeight="false" outlineLevel="0" collapsed="false">
      <c r="A68" s="10" t="n">
        <v>67</v>
      </c>
      <c r="B68" s="10" t="n">
        <v>10</v>
      </c>
      <c r="C68" s="10" t="n">
        <v>164</v>
      </c>
      <c r="D68" s="10"/>
      <c r="E68" s="10" t="s">
        <v>28</v>
      </c>
      <c r="F68" s="10" t="s">
        <v>29</v>
      </c>
    </row>
    <row r="69" customFormat="false" ht="15" hidden="false" customHeight="false" outlineLevel="0" collapsed="false">
      <c r="A69" s="10" t="n">
        <v>68</v>
      </c>
      <c r="B69" s="10" t="n">
        <v>9</v>
      </c>
      <c r="C69" s="10" t="n">
        <v>178</v>
      </c>
      <c r="D69" s="11" t="n">
        <v>8</v>
      </c>
      <c r="E69" s="10" t="s">
        <v>25</v>
      </c>
      <c r="F69" s="10" t="s">
        <v>34</v>
      </c>
    </row>
    <row r="70" customFormat="false" ht="15" hidden="false" customHeight="false" outlineLevel="0" collapsed="false">
      <c r="A70" s="10" t="n">
        <v>69</v>
      </c>
      <c r="B70" s="10" t="n">
        <v>9</v>
      </c>
      <c r="C70" s="10" t="n">
        <v>171</v>
      </c>
      <c r="D70" s="11" t="n">
        <v>6</v>
      </c>
      <c r="E70" s="10" t="s">
        <v>28</v>
      </c>
      <c r="F70" s="10" t="s">
        <v>34</v>
      </c>
    </row>
    <row r="71" customFormat="false" ht="15" hidden="false" customHeight="false" outlineLevel="0" collapsed="false">
      <c r="A71" s="10" t="n">
        <v>70</v>
      </c>
      <c r="B71" s="10" t="n">
        <v>12</v>
      </c>
      <c r="C71" s="10" t="n">
        <v>164</v>
      </c>
      <c r="D71" s="11" t="n">
        <v>7.5</v>
      </c>
      <c r="E71" s="10" t="s">
        <v>25</v>
      </c>
      <c r="F71" s="10" t="s">
        <v>29</v>
      </c>
    </row>
    <row r="72" customFormat="false" ht="15" hidden="false" customHeight="false" outlineLevel="0" collapsed="false">
      <c r="A72" s="10" t="n">
        <v>71</v>
      </c>
      <c r="B72" s="10" t="n">
        <v>12</v>
      </c>
      <c r="C72" s="10" t="n">
        <v>168</v>
      </c>
      <c r="D72" s="11" t="n">
        <v>8.5</v>
      </c>
      <c r="E72" s="10" t="s">
        <v>25</v>
      </c>
      <c r="F72" s="10" t="s">
        <v>29</v>
      </c>
    </row>
    <row r="73" customFormat="false" ht="15" hidden="false" customHeight="false" outlineLevel="0" collapsed="false">
      <c r="A73" s="10" t="n">
        <v>72</v>
      </c>
      <c r="B73" s="10" t="n">
        <v>10</v>
      </c>
      <c r="C73" s="10" t="n">
        <v>171</v>
      </c>
      <c r="D73" s="11" t="n">
        <v>7.5</v>
      </c>
      <c r="E73" s="10" t="s">
        <v>25</v>
      </c>
      <c r="F73" s="10" t="s">
        <v>36</v>
      </c>
    </row>
    <row r="74" customFormat="false" ht="15" hidden="false" customHeight="false" outlineLevel="0" collapsed="false">
      <c r="A74" s="10" t="n">
        <v>73</v>
      </c>
      <c r="B74" s="10" t="n">
        <v>10</v>
      </c>
      <c r="C74" s="10" t="n">
        <v>179</v>
      </c>
      <c r="D74" s="11" t="n">
        <v>6</v>
      </c>
      <c r="E74" s="10" t="s">
        <v>28</v>
      </c>
      <c r="F74" s="10" t="s">
        <v>29</v>
      </c>
    </row>
    <row r="75" customFormat="false" ht="15" hidden="false" customHeight="false" outlineLevel="0" collapsed="false">
      <c r="A75" s="10" t="n">
        <v>74</v>
      </c>
      <c r="B75" s="10" t="n">
        <v>12</v>
      </c>
      <c r="C75" s="10" t="n">
        <v>158</v>
      </c>
      <c r="D75" s="11" t="n">
        <v>5.5</v>
      </c>
      <c r="E75" s="10" t="s">
        <v>25</v>
      </c>
      <c r="F75" s="10" t="s">
        <v>36</v>
      </c>
    </row>
    <row r="76" customFormat="false" ht="15" hidden="false" customHeight="false" outlineLevel="0" collapsed="false">
      <c r="A76" s="10" t="n">
        <v>75</v>
      </c>
      <c r="B76" s="10" t="n">
        <v>10</v>
      </c>
      <c r="C76" s="10" t="n">
        <v>167</v>
      </c>
      <c r="D76" s="11" t="n">
        <v>8.5</v>
      </c>
      <c r="E76" s="10" t="s">
        <v>28</v>
      </c>
      <c r="F76" s="10" t="s">
        <v>39</v>
      </c>
    </row>
    <row r="77" customFormat="false" ht="15" hidden="false" customHeight="false" outlineLevel="0" collapsed="false">
      <c r="A77" s="10" t="n">
        <v>76</v>
      </c>
      <c r="B77" s="10" t="n">
        <v>10</v>
      </c>
      <c r="C77" s="10" t="n">
        <v>165</v>
      </c>
      <c r="D77" s="11" t="n">
        <v>6</v>
      </c>
      <c r="E77" s="10" t="s">
        <v>25</v>
      </c>
      <c r="F77" s="10" t="s">
        <v>34</v>
      </c>
    </row>
    <row r="78" customFormat="false" ht="15" hidden="false" customHeight="false" outlineLevel="0" collapsed="false">
      <c r="A78" s="10" t="n">
        <v>77</v>
      </c>
      <c r="B78" s="10" t="n">
        <v>12</v>
      </c>
      <c r="C78" s="10" t="n">
        <v>150</v>
      </c>
      <c r="D78" s="11" t="n">
        <v>5</v>
      </c>
      <c r="E78" s="10" t="s">
        <v>25</v>
      </c>
      <c r="F78" s="10" t="s">
        <v>34</v>
      </c>
    </row>
    <row r="79" customFormat="false" ht="15" hidden="false" customHeight="false" outlineLevel="0" collapsed="false">
      <c r="A79" s="10" t="n">
        <v>78</v>
      </c>
      <c r="B79" s="10" t="n">
        <v>11</v>
      </c>
      <c r="C79" s="10" t="n">
        <v>162</v>
      </c>
      <c r="D79" s="11" t="n">
        <v>8</v>
      </c>
      <c r="E79" s="10" t="s">
        <v>25</v>
      </c>
      <c r="F79" s="10" t="s">
        <v>34</v>
      </c>
    </row>
    <row r="80" customFormat="false" ht="15" hidden="false" customHeight="false" outlineLevel="0" collapsed="false">
      <c r="A80" s="10" t="n">
        <v>79</v>
      </c>
      <c r="B80" s="10" t="n">
        <v>11</v>
      </c>
      <c r="C80" s="10" t="n">
        <v>154</v>
      </c>
      <c r="D80" s="11" t="n">
        <v>7.5</v>
      </c>
      <c r="E80" s="10" t="s">
        <v>25</v>
      </c>
      <c r="F80" s="10" t="s">
        <v>34</v>
      </c>
    </row>
    <row r="81" customFormat="false" ht="15" hidden="false" customHeight="false" outlineLevel="0" collapsed="false">
      <c r="A81" s="10" t="n">
        <v>80</v>
      </c>
      <c r="B81" s="10" t="n">
        <v>12</v>
      </c>
      <c r="C81" s="10" t="n">
        <v>169</v>
      </c>
      <c r="D81" s="11" t="n">
        <v>7</v>
      </c>
      <c r="E81" s="10" t="s">
        <v>25</v>
      </c>
      <c r="F81" s="10" t="s">
        <v>34</v>
      </c>
    </row>
    <row r="82" customFormat="false" ht="15" hidden="false" customHeight="false" outlineLevel="0" collapsed="false">
      <c r="A82" s="10" t="n">
        <v>81</v>
      </c>
      <c r="B82" s="10" t="n">
        <v>12</v>
      </c>
      <c r="C82" s="10" t="n">
        <v>166</v>
      </c>
      <c r="D82" s="11" t="n">
        <v>7.5</v>
      </c>
      <c r="E82" s="10" t="s">
        <v>25</v>
      </c>
      <c r="F82" s="10" t="s">
        <v>34</v>
      </c>
    </row>
    <row r="83" customFormat="false" ht="15" hidden="false" customHeight="false" outlineLevel="0" collapsed="false">
      <c r="A83" s="10" t="n">
        <v>82</v>
      </c>
      <c r="B83" s="10" t="n">
        <v>9</v>
      </c>
      <c r="C83" s="10" t="n">
        <v>170</v>
      </c>
      <c r="D83" s="11" t="n">
        <v>7</v>
      </c>
      <c r="E83" s="10" t="s">
        <v>28</v>
      </c>
      <c r="F83" s="10" t="s">
        <v>29</v>
      </c>
    </row>
    <row r="84" customFormat="false" ht="15" hidden="false" customHeight="false" outlineLevel="0" collapsed="false">
      <c r="A84" s="10" t="n">
        <v>83</v>
      </c>
      <c r="B84" s="10" t="n">
        <v>11</v>
      </c>
      <c r="C84" s="10" t="n">
        <v>170</v>
      </c>
      <c r="D84" s="11" t="n">
        <v>7.5</v>
      </c>
      <c r="E84" s="10" t="s">
        <v>28</v>
      </c>
      <c r="F84" s="10" t="s">
        <v>29</v>
      </c>
    </row>
    <row r="85" customFormat="false" ht="15" hidden="false" customHeight="false" outlineLevel="0" collapsed="false">
      <c r="A85" s="10" t="n">
        <v>84</v>
      </c>
      <c r="B85" s="10" t="n">
        <v>11</v>
      </c>
      <c r="C85" s="10" t="n">
        <v>153</v>
      </c>
      <c r="D85" s="11" t="n">
        <v>7</v>
      </c>
      <c r="E85" s="10" t="s">
        <v>25</v>
      </c>
      <c r="F85" s="10" t="s">
        <v>36</v>
      </c>
    </row>
    <row r="86" customFormat="false" ht="15" hidden="false" customHeight="false" outlineLevel="0" collapsed="false">
      <c r="A86" s="10" t="n">
        <v>85</v>
      </c>
      <c r="B86" s="10" t="n">
        <v>9</v>
      </c>
      <c r="C86" s="10" t="n">
        <v>168</v>
      </c>
      <c r="D86" s="11" t="n">
        <v>7.5</v>
      </c>
      <c r="E86" s="10" t="s">
        <v>28</v>
      </c>
      <c r="F86" s="10" t="s">
        <v>34</v>
      </c>
    </row>
    <row r="87" customFormat="false" ht="15" hidden="false" customHeight="false" outlineLevel="0" collapsed="false">
      <c r="A87" s="10" t="n">
        <v>86</v>
      </c>
      <c r="B87" s="10" t="n">
        <v>9</v>
      </c>
      <c r="C87" s="10" t="n">
        <v>172</v>
      </c>
      <c r="D87" s="11" t="n">
        <v>7</v>
      </c>
      <c r="E87" s="10" t="s">
        <v>25</v>
      </c>
      <c r="F87" s="10" t="s">
        <v>34</v>
      </c>
    </row>
    <row r="88" customFormat="false" ht="15" hidden="false" customHeight="false" outlineLevel="0" collapsed="false">
      <c r="A88" s="10" t="n">
        <v>87</v>
      </c>
      <c r="B88" s="10" t="n">
        <v>11</v>
      </c>
      <c r="C88" s="10" t="n">
        <v>176</v>
      </c>
      <c r="D88" s="11" t="n">
        <v>7.5</v>
      </c>
      <c r="E88" s="10" t="s">
        <v>25</v>
      </c>
      <c r="F88" s="10" t="s">
        <v>34</v>
      </c>
    </row>
    <row r="89" customFormat="false" ht="15" hidden="false" customHeight="false" outlineLevel="0" collapsed="false">
      <c r="A89" s="10" t="n">
        <v>88</v>
      </c>
      <c r="B89" s="10" t="n">
        <v>10</v>
      </c>
      <c r="C89" s="10" t="n">
        <v>168</v>
      </c>
      <c r="D89" s="11" t="n">
        <v>6.5</v>
      </c>
      <c r="E89" s="10" t="s">
        <v>25</v>
      </c>
      <c r="F89" s="10" t="s">
        <v>36</v>
      </c>
    </row>
    <row r="90" customFormat="false" ht="15" hidden="false" customHeight="false" outlineLevel="0" collapsed="false">
      <c r="A90" s="10" t="n">
        <v>89</v>
      </c>
      <c r="B90" s="10" t="n">
        <v>12</v>
      </c>
      <c r="C90" s="10" t="n">
        <v>162</v>
      </c>
      <c r="D90" s="11" t="n">
        <v>7.5</v>
      </c>
      <c r="E90" s="10" t="s">
        <v>25</v>
      </c>
      <c r="F90" s="10" t="s">
        <v>29</v>
      </c>
    </row>
    <row r="91" customFormat="false" ht="15" hidden="false" customHeight="false" outlineLevel="0" collapsed="false">
      <c r="A91" s="10" t="n">
        <v>90</v>
      </c>
      <c r="B91" s="10" t="n">
        <v>9</v>
      </c>
      <c r="C91" s="10" t="n">
        <v>170</v>
      </c>
      <c r="D91" s="11" t="n">
        <v>5.5</v>
      </c>
      <c r="E91" s="10" t="s">
        <v>28</v>
      </c>
      <c r="F91" s="10" t="s">
        <v>34</v>
      </c>
    </row>
    <row r="92" customFormat="false" ht="15" hidden="false" customHeight="false" outlineLevel="0" collapsed="false">
      <c r="A92" s="10" t="n">
        <v>91</v>
      </c>
      <c r="B92" s="10" t="n">
        <v>11</v>
      </c>
      <c r="C92" s="10" t="n">
        <v>180</v>
      </c>
      <c r="D92" s="11" t="n">
        <v>6.5</v>
      </c>
      <c r="E92" s="10" t="s">
        <v>25</v>
      </c>
      <c r="F92" s="10" t="s">
        <v>29</v>
      </c>
    </row>
    <row r="93" customFormat="false" ht="15" hidden="false" customHeight="false" outlineLevel="0" collapsed="false">
      <c r="A93" s="10" t="n">
        <v>92</v>
      </c>
      <c r="B93" s="10" t="n">
        <v>12</v>
      </c>
      <c r="C93" s="10" t="n">
        <v>170</v>
      </c>
      <c r="D93" s="11" t="n">
        <v>8.5</v>
      </c>
      <c r="E93" s="10" t="s">
        <v>28</v>
      </c>
      <c r="F93" s="10" t="s">
        <v>39</v>
      </c>
    </row>
    <row r="94" customFormat="false" ht="15" hidden="false" customHeight="false" outlineLevel="0" collapsed="false">
      <c r="A94" s="10" t="n">
        <v>93</v>
      </c>
      <c r="B94" s="10" t="n">
        <v>9</v>
      </c>
      <c r="C94" s="10" t="n">
        <v>153</v>
      </c>
      <c r="D94" s="11" t="n">
        <v>7</v>
      </c>
      <c r="E94" s="10" t="s">
        <v>28</v>
      </c>
      <c r="F94" s="10" t="s">
        <v>34</v>
      </c>
    </row>
    <row r="95" customFormat="false" ht="15" hidden="false" customHeight="false" outlineLevel="0" collapsed="false">
      <c r="A95" s="10" t="n">
        <v>94</v>
      </c>
      <c r="B95" s="10" t="n">
        <v>9</v>
      </c>
      <c r="C95" s="10" t="n">
        <v>172</v>
      </c>
      <c r="D95" s="11" t="n">
        <v>6.5</v>
      </c>
      <c r="E95" s="10" t="s">
        <v>25</v>
      </c>
      <c r="F95" s="10" t="s">
        <v>36</v>
      </c>
    </row>
    <row r="96" customFormat="false" ht="15" hidden="false" customHeight="false" outlineLevel="0" collapsed="false">
      <c r="A96" s="10" t="n">
        <v>95</v>
      </c>
      <c r="B96" s="10" t="n">
        <v>10</v>
      </c>
      <c r="C96" s="10" t="n">
        <v>168</v>
      </c>
      <c r="D96" s="11" t="n">
        <v>7</v>
      </c>
      <c r="E96" s="10" t="s">
        <v>25</v>
      </c>
      <c r="F96" s="10" t="s">
        <v>34</v>
      </c>
    </row>
    <row r="97" customFormat="false" ht="15" hidden="false" customHeight="false" outlineLevel="0" collapsed="false">
      <c r="A97" s="10" t="n">
        <v>96</v>
      </c>
      <c r="B97" s="10" t="n">
        <v>10</v>
      </c>
      <c r="C97" s="10" t="n">
        <v>168</v>
      </c>
      <c r="D97" s="11" t="n">
        <v>8</v>
      </c>
      <c r="E97" s="10" t="s">
        <v>25</v>
      </c>
      <c r="F97" s="10" t="s">
        <v>36</v>
      </c>
    </row>
    <row r="98" customFormat="false" ht="15" hidden="false" customHeight="false" outlineLevel="0" collapsed="false">
      <c r="A98" s="10" t="n">
        <v>97</v>
      </c>
      <c r="B98" s="10" t="n">
        <v>10</v>
      </c>
      <c r="C98" s="10" t="n">
        <v>164</v>
      </c>
      <c r="D98" s="11" t="n">
        <v>6.5</v>
      </c>
      <c r="E98" s="10" t="s">
        <v>25</v>
      </c>
      <c r="F98" s="10" t="s">
        <v>36</v>
      </c>
    </row>
    <row r="99" customFormat="false" ht="15" hidden="false" customHeight="false" outlineLevel="0" collapsed="false">
      <c r="A99" s="10" t="n">
        <v>98</v>
      </c>
      <c r="B99" s="10" t="n">
        <v>9</v>
      </c>
      <c r="C99" s="10" t="n">
        <v>168</v>
      </c>
      <c r="D99" s="11" t="n">
        <v>9</v>
      </c>
      <c r="E99" s="10" t="s">
        <v>28</v>
      </c>
      <c r="F99" s="10" t="s">
        <v>34</v>
      </c>
    </row>
    <row r="100" customFormat="false" ht="15" hidden="false" customHeight="false" outlineLevel="0" collapsed="false">
      <c r="A100" s="10" t="n">
        <v>99</v>
      </c>
      <c r="B100" s="10" t="n">
        <v>10</v>
      </c>
      <c r="C100" s="10" t="n">
        <v>169</v>
      </c>
      <c r="D100" s="11" t="n">
        <v>7</v>
      </c>
      <c r="E100" s="10" t="s">
        <v>25</v>
      </c>
      <c r="F100" s="10" t="s">
        <v>29</v>
      </c>
    </row>
    <row r="101" customFormat="false" ht="15" hidden="false" customHeight="false" outlineLevel="0" collapsed="false">
      <c r="A101" s="10" t="n">
        <v>100</v>
      </c>
      <c r="B101" s="10" t="n">
        <v>10</v>
      </c>
      <c r="C101" s="10" t="n">
        <v>155</v>
      </c>
      <c r="D101" s="11" t="n">
        <v>7.5</v>
      </c>
      <c r="E101" s="10" t="s">
        <v>25</v>
      </c>
      <c r="F101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56"/>
  </cols>
  <sheetData>
    <row r="1" customFormat="false" ht="36" hidden="false" customHeight="true" outlineLevel="0" collapsed="false">
      <c r="A1" s="8" t="s">
        <v>70</v>
      </c>
      <c r="B1" s="8" t="s">
        <v>71</v>
      </c>
      <c r="C1" s="8" t="s">
        <v>72</v>
      </c>
      <c r="D1" s="8" t="s">
        <v>73</v>
      </c>
      <c r="E1" s="8" t="s">
        <v>74</v>
      </c>
    </row>
    <row r="2" customFormat="false" ht="26.85" hidden="false" customHeight="false" outlineLevel="0" collapsed="false">
      <c r="A2" s="12" t="s">
        <v>75</v>
      </c>
      <c r="B2" s="12" t="s">
        <v>76</v>
      </c>
      <c r="C2" s="13" t="n">
        <f aca="false">COUNTA(Messy!A2:A109)-COUNTA(Clean!A2:A101)</f>
        <v>8</v>
      </c>
      <c r="D2" s="12" t="s">
        <v>77</v>
      </c>
      <c r="E2" s="12" t="s">
        <v>78</v>
      </c>
    </row>
    <row r="3" customFormat="false" ht="15" hidden="false" customHeight="false" outlineLevel="0" collapsed="false">
      <c r="A3" s="12" t="s">
        <v>79</v>
      </c>
      <c r="B3" s="12" t="s">
        <v>80</v>
      </c>
      <c r="C3" s="14" t="s">
        <v>81</v>
      </c>
      <c r="D3" s="12" t="s">
        <v>82</v>
      </c>
      <c r="E3" s="12" t="s">
        <v>83</v>
      </c>
    </row>
    <row r="4" customFormat="false" ht="15" hidden="false" customHeight="false" outlineLevel="0" collapsed="false">
      <c r="A4" s="12" t="s">
        <v>84</v>
      </c>
      <c r="B4" s="12" t="s">
        <v>85</v>
      </c>
      <c r="C4" s="14" t="s">
        <v>86</v>
      </c>
      <c r="D4" s="12" t="s">
        <v>87</v>
      </c>
      <c r="E4" s="12" t="s">
        <v>88</v>
      </c>
    </row>
    <row r="5" customFormat="false" ht="15" hidden="false" customHeight="false" outlineLevel="0" collapsed="false">
      <c r="A5" s="12" t="s">
        <v>89</v>
      </c>
      <c r="B5" s="12" t="s">
        <v>90</v>
      </c>
      <c r="C5" s="14" t="s">
        <v>91</v>
      </c>
      <c r="D5" s="12" t="s">
        <v>92</v>
      </c>
      <c r="E5" s="12" t="s">
        <v>93</v>
      </c>
    </row>
    <row r="6" customFormat="false" ht="26.85" hidden="false" customHeight="false" outlineLevel="0" collapsed="false">
      <c r="A6" s="12" t="s">
        <v>94</v>
      </c>
      <c r="B6" s="12" t="s">
        <v>95</v>
      </c>
      <c r="C6" s="14" t="s">
        <v>96</v>
      </c>
      <c r="D6" s="12" t="s">
        <v>97</v>
      </c>
      <c r="E6" s="12" t="s">
        <v>98</v>
      </c>
    </row>
    <row r="7" customFormat="false" ht="15" hidden="false" customHeight="false" outlineLevel="0" collapsed="false">
      <c r="A7" s="12" t="s">
        <v>99</v>
      </c>
      <c r="B7" s="12" t="s">
        <v>66</v>
      </c>
      <c r="C7" s="14" t="s">
        <v>100</v>
      </c>
      <c r="D7" s="12" t="s">
        <v>101</v>
      </c>
      <c r="E7" s="12" t="s">
        <v>102</v>
      </c>
    </row>
    <row r="8" customFormat="false" ht="15" hidden="false" customHeight="false" outlineLevel="0" collapsed="false">
      <c r="A8" s="12" t="s">
        <v>103</v>
      </c>
      <c r="B8" s="12" t="s">
        <v>104</v>
      </c>
      <c r="C8" s="14" t="s">
        <v>86</v>
      </c>
      <c r="D8" s="12" t="s">
        <v>105</v>
      </c>
      <c r="E8" s="12" t="s">
        <v>106</v>
      </c>
    </row>
    <row r="9" customFormat="false" ht="15" hidden="false" customHeight="false" outlineLevel="0" collapsed="false">
      <c r="A9" s="12" t="s">
        <v>107</v>
      </c>
      <c r="B9" s="12" t="s">
        <v>108</v>
      </c>
      <c r="C9" s="14" t="s">
        <v>100</v>
      </c>
      <c r="D9" s="12" t="s">
        <v>97</v>
      </c>
      <c r="E9" s="12" t="s">
        <v>109</v>
      </c>
    </row>
    <row r="10" customFormat="false" ht="15" hidden="false" customHeight="false" outlineLevel="0" collapsed="false">
      <c r="A10" s="12" t="s">
        <v>110</v>
      </c>
      <c r="B10" s="12" t="s">
        <v>111</v>
      </c>
      <c r="C10" s="14" t="s">
        <v>112</v>
      </c>
      <c r="D10" s="12" t="s">
        <v>113</v>
      </c>
      <c r="E10" s="12" t="s">
        <v>114</v>
      </c>
    </row>
    <row r="11" customFormat="false" ht="15" hidden="false" customHeight="false" outlineLevel="0" collapsed="false">
      <c r="A11" s="12" t="s">
        <v>115</v>
      </c>
      <c r="B11" s="12" t="s">
        <v>116</v>
      </c>
      <c r="C11" s="14" t="s">
        <v>112</v>
      </c>
      <c r="D11" s="12" t="s">
        <v>117</v>
      </c>
      <c r="E11" s="12" t="s">
        <v>118</v>
      </c>
    </row>
    <row r="12" customFormat="false" ht="15" hidden="false" customHeight="false" outlineLevel="0" collapsed="false">
      <c r="A12" s="12" t="s">
        <v>119</v>
      </c>
      <c r="B12" s="12" t="s">
        <v>120</v>
      </c>
      <c r="C12" s="14" t="s">
        <v>112</v>
      </c>
      <c r="D12" s="12" t="s">
        <v>121</v>
      </c>
      <c r="E12" s="1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5" t="s">
        <v>123</v>
      </c>
    </row>
    <row r="2" customFormat="false" ht="30" hidden="false" customHeight="true" outlineLevel="0" collapsed="false">
      <c r="A2" s="8" t="s">
        <v>124</v>
      </c>
      <c r="B2" s="8" t="s">
        <v>125</v>
      </c>
      <c r="D2" s="16" t="s">
        <v>126</v>
      </c>
      <c r="E2" s="16" t="s">
        <v>125</v>
      </c>
    </row>
    <row r="3" customFormat="false" ht="15" hidden="false" customHeight="false" outlineLevel="0" collapsed="false">
      <c r="A3" s="17" t="s">
        <v>34</v>
      </c>
      <c r="B3" s="18" t="n">
        <f aca="false">COUNTIF(Messy!$F$2:$F$109,A3)</f>
        <v>19</v>
      </c>
      <c r="D3" s="17" t="s">
        <v>34</v>
      </c>
      <c r="E3" s="18" t="n">
        <f aca="false">COUNTIF(Clean!$F$2:$F$101,D3)</f>
        <v>44</v>
      </c>
    </row>
    <row r="4" customFormat="false" ht="15" hidden="false" customHeight="false" outlineLevel="0" collapsed="false">
      <c r="A4" s="17" t="s">
        <v>32</v>
      </c>
      <c r="B4" s="18" t="n">
        <f aca="false">COUNTIF(Messy!$F$2:$F$109,A4)</f>
        <v>14</v>
      </c>
      <c r="D4" s="17" t="s">
        <v>29</v>
      </c>
      <c r="E4" s="18" t="n">
        <f aca="false">COUNTIF(Clean!$F$2:$F$101,D4)</f>
        <v>23</v>
      </c>
    </row>
    <row r="5" customFormat="false" ht="15" hidden="false" customHeight="false" outlineLevel="0" collapsed="false">
      <c r="A5" s="17" t="s">
        <v>57</v>
      </c>
      <c r="B5" s="18" t="n">
        <f aca="false">COUNTIF(Messy!$F$2:$F$109,A5)</f>
        <v>10</v>
      </c>
      <c r="D5" s="17" t="s">
        <v>36</v>
      </c>
      <c r="E5" s="18" t="n">
        <f aca="false">COUNTIF(Clean!$F$2:$F$101,D5)</f>
        <v>25</v>
      </c>
    </row>
    <row r="6" customFormat="false" ht="15" hidden="false" customHeight="false" outlineLevel="0" collapsed="false">
      <c r="A6" s="17" t="s">
        <v>55</v>
      </c>
      <c r="B6" s="18" t="n">
        <f aca="false">COUNTIF(Messy!$F$2:$F$109,A6)</f>
        <v>6</v>
      </c>
      <c r="D6" s="17" t="s">
        <v>39</v>
      </c>
      <c r="E6" s="18" t="n">
        <f aca="false">COUNTIF(Clean!$F$2:$F$101,D6)</f>
        <v>8</v>
      </c>
    </row>
    <row r="7" customFormat="false" ht="15" hidden="false" customHeight="false" outlineLevel="0" collapsed="false">
      <c r="A7" s="17" t="s">
        <v>29</v>
      </c>
      <c r="B7" s="18" t="n">
        <f aca="false">COUNTIF(Messy!$F$2:$F$109,A7)</f>
        <v>12</v>
      </c>
    </row>
    <row r="8" customFormat="false" ht="15" hidden="false" customHeight="false" outlineLevel="0" collapsed="false">
      <c r="A8" s="17" t="s">
        <v>26</v>
      </c>
      <c r="B8" s="18" t="n">
        <f aca="false">COUNTIF(Messy!$F$2:$F$109,A8)</f>
        <v>3</v>
      </c>
    </row>
    <row r="9" customFormat="false" ht="15" hidden="false" customHeight="false" outlineLevel="0" collapsed="false">
      <c r="A9" s="17" t="s">
        <v>51</v>
      </c>
      <c r="B9" s="18" t="n">
        <f aca="false">COUNTIF(Messy!$F$2:$F$109,A9)</f>
        <v>9</v>
      </c>
    </row>
    <row r="10" customFormat="false" ht="15" hidden="false" customHeight="false" outlineLevel="0" collapsed="false">
      <c r="A10" s="17" t="s">
        <v>36</v>
      </c>
      <c r="B10" s="18" t="n">
        <f aca="false">COUNTIF(Messy!$F$2:$F$109,A10)</f>
        <v>22</v>
      </c>
    </row>
    <row r="11" customFormat="false" ht="15" hidden="false" customHeight="false" outlineLevel="0" collapsed="false">
      <c r="A11" s="17" t="s">
        <v>45</v>
      </c>
      <c r="B11" s="18" t="n">
        <f aca="false">COUNTIF(Messy!$F$2:$F$109,A11)</f>
        <v>5</v>
      </c>
    </row>
    <row r="12" customFormat="false" ht="15" hidden="false" customHeight="false" outlineLevel="0" collapsed="false">
      <c r="A12" s="17" t="s">
        <v>39</v>
      </c>
      <c r="B12" s="18" t="n">
        <f aca="false">COUNTIF(Messy!$F$2:$F$109,A12)</f>
        <v>5</v>
      </c>
    </row>
    <row r="13" customFormat="false" ht="15" hidden="false" customHeight="false" outlineLevel="0" collapsed="false">
      <c r="A13" s="17" t="s">
        <v>59</v>
      </c>
      <c r="B13" s="18" t="n">
        <f aca="false">COUNTIF(Messy!$F$2:$F$109,A13)</f>
        <v>3</v>
      </c>
    </row>
    <row r="15" customFormat="false" ht="15" hidden="false" customHeight="false" outlineLevel="0" collapsed="false">
      <c r="A15" s="19" t="s">
        <v>127</v>
      </c>
      <c r="B15" s="20" t="n">
        <f aca="false">SUM(B3:B13)</f>
        <v>108</v>
      </c>
      <c r="D15" s="19" t="s">
        <v>128</v>
      </c>
      <c r="E15" s="20" t="n">
        <f aca="false">SUM(E3:E6)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39.75" hidden="false" customHeight="true" outlineLevel="0" collapsed="false">
      <c r="A1" s="8" t="s">
        <v>129</v>
      </c>
      <c r="B1" s="8" t="s">
        <v>71</v>
      </c>
      <c r="C1" s="8" t="s">
        <v>130</v>
      </c>
      <c r="D1" s="8" t="s">
        <v>73</v>
      </c>
      <c r="E1" s="8" t="s">
        <v>131</v>
      </c>
    </row>
    <row r="2" customFormat="false" ht="15" hidden="false" customHeight="false" outlineLevel="0" collapsed="false">
      <c r="A2" s="21" t="s">
        <v>132</v>
      </c>
      <c r="B2" s="21" t="s">
        <v>80</v>
      </c>
      <c r="C2" s="21" t="s">
        <v>81</v>
      </c>
      <c r="D2" s="21" t="s">
        <v>133</v>
      </c>
      <c r="E2" s="21" t="s">
        <v>134</v>
      </c>
    </row>
    <row r="3" customFormat="false" ht="15" hidden="false" customHeight="false" outlineLevel="0" collapsed="false">
      <c r="A3" s="22"/>
      <c r="B3" s="22"/>
      <c r="C3" s="22"/>
      <c r="D3" s="22"/>
      <c r="E3" s="22"/>
    </row>
    <row r="4" customFormat="false" ht="15" hidden="false" customHeight="false" outlineLevel="0" collapsed="false">
      <c r="A4" s="22"/>
      <c r="B4" s="22"/>
      <c r="C4" s="22"/>
      <c r="D4" s="22"/>
      <c r="E4" s="22"/>
    </row>
    <row r="5" customFormat="false" ht="15" hidden="false" customHeight="false" outlineLevel="0" collapsed="false">
      <c r="A5" s="22"/>
      <c r="B5" s="22"/>
      <c r="C5" s="22"/>
      <c r="D5" s="22"/>
      <c r="E5" s="22"/>
    </row>
    <row r="6" customFormat="false" ht="15" hidden="false" customHeight="false" outlineLevel="0" collapsed="false">
      <c r="A6" s="22"/>
      <c r="B6" s="22"/>
      <c r="C6" s="22"/>
      <c r="D6" s="22"/>
      <c r="E6" s="22"/>
    </row>
    <row r="7" customFormat="false" ht="15" hidden="false" customHeight="false" outlineLevel="0" collapsed="false">
      <c r="A7" s="22"/>
      <c r="B7" s="22"/>
      <c r="C7" s="22"/>
      <c r="D7" s="22"/>
      <c r="E7" s="22"/>
    </row>
    <row r="8" customFormat="false" ht="15" hidden="false" customHeight="false" outlineLevel="0" collapsed="false">
      <c r="A8" s="22"/>
      <c r="B8" s="22"/>
      <c r="C8" s="22"/>
      <c r="D8" s="22"/>
      <c r="E8" s="22"/>
    </row>
    <row r="9" customFormat="false" ht="15" hidden="false" customHeight="false" outlineLevel="0" collapsed="false">
      <c r="A9" s="22"/>
      <c r="B9" s="22"/>
      <c r="C9" s="22"/>
      <c r="D9" s="22"/>
      <c r="E9" s="22"/>
    </row>
    <row r="10" customFormat="false" ht="15" hidden="false" customHeight="false" outlineLevel="0" collapsed="false">
      <c r="A10" s="22"/>
      <c r="B10" s="22"/>
      <c r="C10" s="22"/>
      <c r="D10" s="22"/>
      <c r="E10" s="22"/>
    </row>
    <row r="11" customFormat="false" ht="15" hidden="false" customHeight="false" outlineLevel="0" collapsed="false">
      <c r="A11" s="22"/>
      <c r="B11" s="22"/>
      <c r="C11" s="22"/>
      <c r="D11" s="22"/>
      <c r="E11" s="22"/>
    </row>
    <row r="12" customFormat="false" ht="15" hidden="false" customHeight="false" outlineLevel="0" collapsed="false">
      <c r="A12" s="22"/>
      <c r="B12" s="22"/>
      <c r="C12" s="22"/>
      <c r="D12" s="22"/>
      <c r="E12" s="22"/>
    </row>
    <row r="14" customFormat="false" ht="15" hidden="false" customHeight="false" outlineLevel="0" collapsed="false">
      <c r="A14" s="9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23" t="s">
        <v>136</v>
      </c>
    </row>
    <row r="3" customFormat="false" ht="15" hidden="false" customHeight="false" outlineLevel="0" collapsed="false">
      <c r="A3" s="8" t="s">
        <v>137</v>
      </c>
      <c r="B3" s="8" t="s">
        <v>138</v>
      </c>
      <c r="C3" s="8" t="s">
        <v>139</v>
      </c>
      <c r="D3" s="8" t="s">
        <v>140</v>
      </c>
    </row>
    <row r="4" customFormat="false" ht="15" hidden="false" customHeight="false" outlineLevel="0" collapsed="false">
      <c r="A4" s="24" t="s">
        <v>141</v>
      </c>
      <c r="B4" s="25" t="n">
        <f aca="false">COUNTA(Messy!A2:A109)</f>
        <v>108</v>
      </c>
      <c r="C4" s="25" t="n">
        <f aca="false">COUNTA(Clean!A2:A101)</f>
        <v>100</v>
      </c>
      <c r="D4" s="26" t="s">
        <v>142</v>
      </c>
    </row>
    <row r="5" customFormat="false" ht="15" hidden="false" customHeight="false" outlineLevel="0" collapsed="false">
      <c r="A5" s="24" t="s">
        <v>143</v>
      </c>
      <c r="B5" s="25" t="n">
        <f aca="false">COUNTA(Messy!C2:C109)-COUNT(Messy!C2:C109)</f>
        <v>10</v>
      </c>
      <c r="C5" s="25" t="n">
        <f aca="false">COUNTA(Clean!C2:C101)-COUNT(Clean!C2:C101)</f>
        <v>0</v>
      </c>
      <c r="D5" s="26" t="s">
        <v>144</v>
      </c>
    </row>
    <row r="6" customFormat="false" ht="15" hidden="false" customHeight="false" outlineLevel="0" collapsed="false">
      <c r="A6" s="24" t="s">
        <v>145</v>
      </c>
      <c r="B6" s="27" t="n">
        <f aca="false">AVERAGE(Messy!C2:C109)</f>
        <v>173.510204081633</v>
      </c>
      <c r="C6" s="27" t="n">
        <f aca="false">AVERAGE(Clean!C2:C101)</f>
        <v>167.855670103093</v>
      </c>
      <c r="D6" s="26" t="s">
        <v>146</v>
      </c>
    </row>
    <row r="7" customFormat="false" ht="15" hidden="false" customHeight="false" outlineLevel="0" collapsed="false">
      <c r="A7" s="24" t="s">
        <v>147</v>
      </c>
      <c r="B7" s="28" t="n">
        <f aca="false">AVERAGE(Messy!D2:D109)</f>
        <v>7.16346153846154</v>
      </c>
      <c r="C7" s="28" t="n">
        <f aca="false">AVERAGE(Clean!D2:D101)</f>
        <v>7.09090909090909</v>
      </c>
      <c r="D7" s="26" t="s">
        <v>148</v>
      </c>
    </row>
    <row r="8" customFormat="false" ht="15" hidden="false" customHeight="false" outlineLevel="0" collapsed="false">
      <c r="A8" s="24" t="s">
        <v>149</v>
      </c>
      <c r="B8" s="25" t="n">
        <f aca="false">COUNTIF(Messy!E2:E109,"Yes")</f>
        <v>36</v>
      </c>
      <c r="C8" s="25" t="n">
        <f aca="false">COUNTIF(Clean!E2:E101,"Yes")</f>
        <v>68</v>
      </c>
      <c r="D8" s="26" t="s">
        <v>150</v>
      </c>
    </row>
    <row r="9" customFormat="false" ht="15" hidden="false" customHeight="false" outlineLevel="0" collapsed="false">
      <c r="A9" s="24" t="s">
        <v>151</v>
      </c>
      <c r="B9" s="29" t="n">
        <f aca="false">COUNTIF(Messy!E2:E109,"Yes")/COUNTA(Messy!E2:E109)</f>
        <v>0.333333333333333</v>
      </c>
      <c r="C9" s="29" t="n">
        <f aca="false">COUNTIF(Clean!E2:E101,"Yes")/COUNTA(Clean!E2:E101)</f>
        <v>0.68</v>
      </c>
      <c r="D9" s="26" t="s">
        <v>152</v>
      </c>
    </row>
    <row r="10" customFormat="false" ht="15" hidden="false" customHeight="false" outlineLevel="0" collapsed="false">
      <c r="A10" s="24" t="s">
        <v>153</v>
      </c>
      <c r="B10" s="25" t="n">
        <f aca="false">SUMPRODUCT(1/COUNTIF(Messy!F2:F109,Messy!F2:F109))</f>
        <v>11</v>
      </c>
      <c r="C10" s="25" t="n">
        <f aca="false">SUMPRODUCT(1/COUNTIF(Clean!F2:F101,Clean!F2:F101))</f>
        <v>4</v>
      </c>
      <c r="D10" s="26" t="s">
        <v>122</v>
      </c>
    </row>
    <row r="12" customFormat="false" ht="15" hidden="false" customHeight="false" outlineLevel="0" collapsed="false">
      <c r="A12" s="3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2026-10-08T03:43:24Z</dcterms:created>
  <dc:creator>openpyxl</dc:creator>
  <dc:description/>
  <dc:language>en-US</dc:language>
  <cp:lastModifiedBy/>
  <dcterms:modified xsi:type="dcterms:W3CDTF">2026-10-08T03:43:26Z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